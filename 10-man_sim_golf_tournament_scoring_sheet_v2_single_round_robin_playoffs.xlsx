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Matche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Update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i val="1"/>
      <color rgb="00404040"/>
      <sz val="11"/>
    </font>
    <font>
      <b val="1"/>
    </font>
    <font>
      <b val="1"/>
      <sz val="13"/>
    </font>
    <font>
      <name val="Calibri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atchTable" displayName="MatchTable" ref="A1:T61" headerRowCount="1">
  <autoFilter ref="A1:T61"/>
  <tableColumns count="20">
    <tableColumn id="1" name="Date"/>
    <tableColumn id="2" name="Division"/>
    <tableColumn id="3" name="Player 1"/>
    <tableColumn id="4" name="Player 2"/>
    <tableColumn id="5" name="P1 Base Pts"/>
    <tableColumn id="6" name="P2 Base Pts"/>
    <tableColumn id="7" name="Winner"/>
    <tableColumn id="8" name="P1 Bonus"/>
    <tableColumn id="9" name="P2 Bonus"/>
    <tableColumn id="10" name="P1 Total"/>
    <tableColumn id="11" name="P2 Total"/>
    <tableColumn id="12" name="Notes"/>
    <tableColumn id="13" name="Completed?"/>
    <tableColumn id="14" name="P1_W"/>
    <tableColumn id="15" name="P1_L"/>
    <tableColumn id="16" name="P1_T"/>
    <tableColumn id="17" name="P2_W"/>
    <tableColumn id="18" name="P2_L"/>
    <tableColumn id="19" name="P2_T"/>
    <tableColumn id="20" name="Result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8" customWidth="1" min="3" max="3"/>
  </cols>
  <sheetData>
    <row r="1">
      <c r="A1" s="1" t="inlineStr">
        <is>
          <t>Player</t>
        </is>
      </c>
      <c r="B1" s="1" t="inlineStr">
        <is>
          <t>Division</t>
        </is>
      </c>
      <c r="C1" s="1" t="inlineStr">
        <is>
          <t>Display Name (optional)</t>
        </is>
      </c>
    </row>
    <row r="2">
      <c r="A2" s="2" t="inlineStr">
        <is>
          <t>Player A</t>
        </is>
      </c>
      <c r="B2" s="3" t="inlineStr">
        <is>
          <t>A</t>
        </is>
      </c>
      <c r="C2" s="2" t="inlineStr"/>
    </row>
    <row r="3">
      <c r="A3" s="2" t="inlineStr">
        <is>
          <t>Player B</t>
        </is>
      </c>
      <c r="B3" s="3" t="inlineStr">
        <is>
          <t>A</t>
        </is>
      </c>
      <c r="C3" s="2" t="inlineStr"/>
    </row>
    <row r="4">
      <c r="A4" s="2" t="inlineStr">
        <is>
          <t>Player C</t>
        </is>
      </c>
      <c r="B4" s="3" t="inlineStr">
        <is>
          <t>A</t>
        </is>
      </c>
      <c r="C4" s="2" t="inlineStr"/>
    </row>
    <row r="5">
      <c r="A5" s="2" t="inlineStr">
        <is>
          <t>Player D</t>
        </is>
      </c>
      <c r="B5" s="3" t="inlineStr">
        <is>
          <t>A</t>
        </is>
      </c>
      <c r="C5" s="2" t="inlineStr"/>
    </row>
    <row r="6">
      <c r="A6" s="2" t="inlineStr">
        <is>
          <t>Player E</t>
        </is>
      </c>
      <c r="B6" s="3" t="inlineStr">
        <is>
          <t>A</t>
        </is>
      </c>
      <c r="C6" s="2" t="inlineStr"/>
    </row>
    <row r="7">
      <c r="A7" s="2" t="inlineStr">
        <is>
          <t>Player F</t>
        </is>
      </c>
      <c r="B7" s="3" t="inlineStr">
        <is>
          <t>B</t>
        </is>
      </c>
      <c r="C7" s="2" t="inlineStr"/>
    </row>
    <row r="8">
      <c r="A8" s="2" t="inlineStr">
        <is>
          <t>Player G</t>
        </is>
      </c>
      <c r="B8" s="3" t="inlineStr">
        <is>
          <t>B</t>
        </is>
      </c>
      <c r="C8" s="2" t="inlineStr"/>
    </row>
    <row r="9">
      <c r="A9" s="2" t="inlineStr">
        <is>
          <t>Player H</t>
        </is>
      </c>
      <c r="B9" s="3" t="inlineStr">
        <is>
          <t>B</t>
        </is>
      </c>
      <c r="C9" s="2" t="inlineStr"/>
    </row>
    <row r="10">
      <c r="A10" s="2" t="inlineStr">
        <is>
          <t>Player I</t>
        </is>
      </c>
      <c r="B10" s="3" t="inlineStr">
        <is>
          <t>B</t>
        </is>
      </c>
      <c r="C10" s="2" t="inlineStr"/>
    </row>
    <row r="11">
      <c r="A11" s="2" t="inlineStr">
        <is>
          <t>Player J</t>
        </is>
      </c>
      <c r="B11" s="3" t="inlineStr">
        <is>
          <t>B</t>
        </is>
      </c>
      <c r="C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Total base points per match</t>
        </is>
      </c>
      <c r="B2" s="3" t="n">
        <v>10</v>
      </c>
    </row>
    <row r="3">
      <c r="A3" s="2" t="inlineStr">
        <is>
          <t>Win bonus points</t>
        </is>
      </c>
      <c r="B3" s="3" t="n">
        <v>1</v>
      </c>
    </row>
    <row r="4">
      <c r="A4" s="2" t="inlineStr">
        <is>
          <t>Tie bonus points</t>
        </is>
      </c>
      <c r="B4" s="3" t="n">
        <v>0</v>
      </c>
    </row>
    <row r="5">
      <c r="A5" s="2" t="inlineStr">
        <is>
          <t>Total scheduled matches</t>
        </is>
      </c>
      <c r="B5" s="3" t="n">
        <v>22</v>
      </c>
    </row>
    <row r="6">
      <c r="A6" s="2" t="inlineStr">
        <is>
          <t>Update title prefix</t>
        </is>
      </c>
      <c r="B6" s="2" t="inlineStr">
        <is>
          <t xml:space="preserve">Indoor Sim Golf League Update – </t>
        </is>
      </c>
    </row>
    <row r="7">
      <c r="A7" s="2" t="inlineStr">
        <is>
          <t>After Round label (edit)</t>
        </is>
      </c>
      <c r="B7" s="2" t="inlineStr">
        <is>
          <t>After Round X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8" customWidth="1" min="3" max="3"/>
    <col width="18" customWidth="1" min="4" max="4"/>
    <col width="12" customWidth="1" min="5" max="5"/>
    <col width="12" customWidth="1" min="6" max="6"/>
    <col width="18" customWidth="1" min="7" max="7"/>
    <col width="9" customWidth="1" min="8" max="8"/>
    <col width="9" customWidth="1" min="9" max="9"/>
    <col width="10" customWidth="1" min="10" max="10"/>
    <col width="10" customWidth="1" min="11" max="11"/>
    <col width="28" customWidth="1" min="12" max="12"/>
    <col width="10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38" customWidth="1" min="20" max="20"/>
  </cols>
  <sheetData>
    <row r="1">
      <c r="A1" s="1" t="inlineStr">
        <is>
          <t>Date</t>
        </is>
      </c>
      <c r="B1" s="1" t="inlineStr">
        <is>
          <t>Division</t>
        </is>
      </c>
      <c r="C1" s="1" t="inlineStr">
        <is>
          <t>Player 1</t>
        </is>
      </c>
      <c r="D1" s="1" t="inlineStr">
        <is>
          <t>Player 2</t>
        </is>
      </c>
      <c r="E1" s="1" t="inlineStr">
        <is>
          <t>P1 Base Pts</t>
        </is>
      </c>
      <c r="F1" s="1" t="inlineStr">
        <is>
          <t>P2 Base Pts</t>
        </is>
      </c>
      <c r="G1" s="1" t="inlineStr">
        <is>
          <t>Winner</t>
        </is>
      </c>
      <c r="H1" s="1" t="inlineStr">
        <is>
          <t>P1 Bonus</t>
        </is>
      </c>
      <c r="I1" s="1" t="inlineStr">
        <is>
          <t>P2 Bonus</t>
        </is>
      </c>
      <c r="J1" s="1" t="inlineStr">
        <is>
          <t>P1 Total</t>
        </is>
      </c>
      <c r="K1" s="1" t="inlineStr">
        <is>
          <t>P2 Total</t>
        </is>
      </c>
      <c r="L1" s="1" t="inlineStr">
        <is>
          <t>Notes</t>
        </is>
      </c>
      <c r="M1" s="1" t="inlineStr">
        <is>
          <t>Completed?</t>
        </is>
      </c>
      <c r="N1" s="1" t="inlineStr">
        <is>
          <t>P1_W</t>
        </is>
      </c>
      <c r="O1" s="1" t="inlineStr">
        <is>
          <t>P1_L</t>
        </is>
      </c>
      <c r="P1" s="1" t="inlineStr">
        <is>
          <t>P1_T</t>
        </is>
      </c>
      <c r="Q1" s="1" t="inlineStr">
        <is>
          <t>P2_W</t>
        </is>
      </c>
      <c r="R1" s="1" t="inlineStr">
        <is>
          <t>P2_L</t>
        </is>
      </c>
      <c r="S1" s="1" t="inlineStr">
        <is>
          <t>P2_T</t>
        </is>
      </c>
      <c r="T1" s="1" t="inlineStr">
        <is>
          <t>Result</t>
        </is>
      </c>
    </row>
    <row r="2">
      <c r="A2" s="2" t="n"/>
      <c r="B2" s="3" t="n"/>
      <c r="C2" s="2" t="n"/>
      <c r="D2" s="2" t="n"/>
      <c r="E2" s="3" t="n"/>
      <c r="F2" s="3" t="n"/>
      <c r="G2" s="2">
        <f>IF(OR(E2="",F2=""),"",IF(E2&gt;F2,C2,IF(E2&lt;F2,D2,"TIE")))</f>
        <v/>
      </c>
      <c r="H2" s="3">
        <f>IF(G2="", "", IF(G2=C2,Settings!$B$3,0))</f>
        <v/>
      </c>
      <c r="I2" s="3">
        <f>IF(G2="", "", IF(G2=D2,Settings!$B$3,0))</f>
        <v/>
      </c>
      <c r="J2" s="3">
        <f>IF(OR(E2="",H2=""),"",E2+H2)</f>
        <v/>
      </c>
      <c r="K2" s="3">
        <f>IF(OR(F2="",I2=""),"",F2+I2)</f>
        <v/>
      </c>
      <c r="L2" s="2" t="n"/>
      <c r="M2" s="3">
        <f>IF(AND(A2&lt;&gt;"",B2&lt;&gt;"",C2&lt;&gt;"",D2&lt;&gt;"",E2&lt;&gt;"",F2&lt;&gt;""),1,0)</f>
        <v/>
      </c>
      <c r="N2" s="3">
        <f>IF(M2=0,"",IF(E2&gt;F2,1,0))</f>
        <v/>
      </c>
      <c r="O2" s="3">
        <f>IF(M2=0,"",IF(E2&lt;F2,1,0))</f>
        <v/>
      </c>
      <c r="P2" s="3">
        <f>IF(M2=0,"",IF(E2=F2,1,0))</f>
        <v/>
      </c>
      <c r="Q2" s="3">
        <f>IF(M2=0,"",IF(F2&gt;E2,1,0))</f>
        <v/>
      </c>
      <c r="R2" s="3">
        <f>IF(M2=0,"",IF(F2&lt;E2,1,0))</f>
        <v/>
      </c>
      <c r="S2" s="3">
        <f>IF(M2=0,"",IF(F2=E2,1,0))</f>
        <v/>
      </c>
      <c r="T2" s="2">
        <f>IF(M2=0,"",IF(E2&gt;F2,C2&amp;" def. "&amp;D2,IF(E2&lt;F2,D2&amp;" def. "&amp;C2,C2&amp;" tied "&amp;D2))&amp;" "&amp;TEXT(E2,"0.0")&amp;"–"&amp;TEXT(F2,"0.0"))</f>
        <v/>
      </c>
    </row>
    <row r="3">
      <c r="A3" s="2" t="n"/>
      <c r="B3" s="3" t="n"/>
      <c r="C3" s="2" t="n"/>
      <c r="D3" s="2" t="n"/>
      <c r="E3" s="3" t="n"/>
      <c r="F3" s="3" t="n"/>
      <c r="G3" s="2">
        <f>IF(OR(E3="",F3=""),"",IF(E3&gt;F3,C3,IF(E3&lt;F3,D3,"TIE")))</f>
        <v/>
      </c>
      <c r="H3" s="3">
        <f>IF(G3="", "", IF(G3=C3,Settings!$B$3,0))</f>
        <v/>
      </c>
      <c r="I3" s="3">
        <f>IF(G3="", "", IF(G3=D3,Settings!$B$3,0))</f>
        <v/>
      </c>
      <c r="J3" s="3">
        <f>IF(OR(E3="",H3=""),"",E3+H3)</f>
        <v/>
      </c>
      <c r="K3" s="3">
        <f>IF(OR(F3="",I3=""),"",F3+I3)</f>
        <v/>
      </c>
      <c r="L3" s="2" t="n"/>
      <c r="M3" s="3">
        <f>IF(AND(A3&lt;&gt;"",B3&lt;&gt;"",C3&lt;&gt;"",D3&lt;&gt;"",E3&lt;&gt;"",F3&lt;&gt;""),1,0)</f>
        <v/>
      </c>
      <c r="N3" s="3">
        <f>IF(M3=0,"",IF(E3&gt;F3,1,0))</f>
        <v/>
      </c>
      <c r="O3" s="3">
        <f>IF(M3=0,"",IF(E3&lt;F3,1,0))</f>
        <v/>
      </c>
      <c r="P3" s="3">
        <f>IF(M3=0,"",IF(E3=F3,1,0))</f>
        <v/>
      </c>
      <c r="Q3" s="3">
        <f>IF(M3=0,"",IF(F3&gt;E3,1,0))</f>
        <v/>
      </c>
      <c r="R3" s="3">
        <f>IF(M3=0,"",IF(F3&lt;E3,1,0))</f>
        <v/>
      </c>
      <c r="S3" s="3">
        <f>IF(M3=0,"",IF(F3=E3,1,0))</f>
        <v/>
      </c>
      <c r="T3" s="2">
        <f>IF(M3=0,"",IF(E3&gt;F3,C3&amp;" def. "&amp;D3,IF(E3&lt;F3,D3&amp;" def. "&amp;C3,C3&amp;" tied "&amp;D3))&amp;" "&amp;TEXT(E3,"0.0")&amp;"–"&amp;TEXT(F3,"0.0"))</f>
        <v/>
      </c>
    </row>
    <row r="4">
      <c r="A4" s="2" t="n"/>
      <c r="B4" s="3" t="n"/>
      <c r="C4" s="2" t="n"/>
      <c r="D4" s="2" t="n"/>
      <c r="E4" s="3" t="n"/>
      <c r="F4" s="3" t="n"/>
      <c r="G4" s="2">
        <f>IF(OR(E4="",F4=""),"",IF(E4&gt;F4,C4,IF(E4&lt;F4,D4,"TIE")))</f>
        <v/>
      </c>
      <c r="H4" s="3">
        <f>IF(G4="", "", IF(G4=C4,Settings!$B$3,0))</f>
        <v/>
      </c>
      <c r="I4" s="3">
        <f>IF(G4="", "", IF(G4=D4,Settings!$B$3,0))</f>
        <v/>
      </c>
      <c r="J4" s="3">
        <f>IF(OR(E4="",H4=""),"",E4+H4)</f>
        <v/>
      </c>
      <c r="K4" s="3">
        <f>IF(OR(F4="",I4=""),"",F4+I4)</f>
        <v/>
      </c>
      <c r="L4" s="2" t="n"/>
      <c r="M4" s="3">
        <f>IF(AND(A4&lt;&gt;"",B4&lt;&gt;"",C4&lt;&gt;"",D4&lt;&gt;"",E4&lt;&gt;"",F4&lt;&gt;""),1,0)</f>
        <v/>
      </c>
      <c r="N4" s="3">
        <f>IF(M4=0,"",IF(E4&gt;F4,1,0))</f>
        <v/>
      </c>
      <c r="O4" s="3">
        <f>IF(M4=0,"",IF(E4&lt;F4,1,0))</f>
        <v/>
      </c>
      <c r="P4" s="3">
        <f>IF(M4=0,"",IF(E4=F4,1,0))</f>
        <v/>
      </c>
      <c r="Q4" s="3">
        <f>IF(M4=0,"",IF(F4&gt;E4,1,0))</f>
        <v/>
      </c>
      <c r="R4" s="3">
        <f>IF(M4=0,"",IF(F4&lt;E4,1,0))</f>
        <v/>
      </c>
      <c r="S4" s="3">
        <f>IF(M4=0,"",IF(F4=E4,1,0))</f>
        <v/>
      </c>
      <c r="T4" s="2">
        <f>IF(M4=0,"",IF(E4&gt;F4,C4&amp;" def. "&amp;D4,IF(E4&lt;F4,D4&amp;" def. "&amp;C4,C4&amp;" tied "&amp;D4))&amp;" "&amp;TEXT(E4,"0.0")&amp;"–"&amp;TEXT(F4,"0.0"))</f>
        <v/>
      </c>
    </row>
    <row r="5">
      <c r="A5" s="2" t="n"/>
      <c r="B5" s="3" t="n"/>
      <c r="C5" s="2" t="n"/>
      <c r="D5" s="2" t="n"/>
      <c r="E5" s="3" t="n"/>
      <c r="F5" s="3" t="n"/>
      <c r="G5" s="2">
        <f>IF(OR(E5="",F5=""),"",IF(E5&gt;F5,C5,IF(E5&lt;F5,D5,"TIE")))</f>
        <v/>
      </c>
      <c r="H5" s="3">
        <f>IF(G5="", "", IF(G5=C5,Settings!$B$3,0))</f>
        <v/>
      </c>
      <c r="I5" s="3">
        <f>IF(G5="", "", IF(G5=D5,Settings!$B$3,0))</f>
        <v/>
      </c>
      <c r="J5" s="3">
        <f>IF(OR(E5="",H5=""),"",E5+H5)</f>
        <v/>
      </c>
      <c r="K5" s="3">
        <f>IF(OR(F5="",I5=""),"",F5+I5)</f>
        <v/>
      </c>
      <c r="L5" s="2" t="n"/>
      <c r="M5" s="3">
        <f>IF(AND(A5&lt;&gt;"",B5&lt;&gt;"",C5&lt;&gt;"",D5&lt;&gt;"",E5&lt;&gt;"",F5&lt;&gt;""),1,0)</f>
        <v/>
      </c>
      <c r="N5" s="3">
        <f>IF(M5=0,"",IF(E5&gt;F5,1,0))</f>
        <v/>
      </c>
      <c r="O5" s="3">
        <f>IF(M5=0,"",IF(E5&lt;F5,1,0))</f>
        <v/>
      </c>
      <c r="P5" s="3">
        <f>IF(M5=0,"",IF(E5=F5,1,0))</f>
        <v/>
      </c>
      <c r="Q5" s="3">
        <f>IF(M5=0,"",IF(F5&gt;E5,1,0))</f>
        <v/>
      </c>
      <c r="R5" s="3">
        <f>IF(M5=0,"",IF(F5&lt;E5,1,0))</f>
        <v/>
      </c>
      <c r="S5" s="3">
        <f>IF(M5=0,"",IF(F5=E5,1,0))</f>
        <v/>
      </c>
      <c r="T5" s="2">
        <f>IF(M5=0,"",IF(E5&gt;F5,C5&amp;" def. "&amp;D5,IF(E5&lt;F5,D5&amp;" def. "&amp;C5,C5&amp;" tied "&amp;D5))&amp;" "&amp;TEXT(E5,"0.0")&amp;"–"&amp;TEXT(F5,"0.0"))</f>
        <v/>
      </c>
    </row>
    <row r="6">
      <c r="A6" s="2" t="n"/>
      <c r="B6" s="3" t="n"/>
      <c r="C6" s="2" t="n"/>
      <c r="D6" s="2" t="n"/>
      <c r="E6" s="3" t="n"/>
      <c r="F6" s="3" t="n"/>
      <c r="G6" s="2">
        <f>IF(OR(E6="",F6=""),"",IF(E6&gt;F6,C6,IF(E6&lt;F6,D6,"TIE")))</f>
        <v/>
      </c>
      <c r="H6" s="3">
        <f>IF(G6="", "", IF(G6=C6,Settings!$B$3,0))</f>
        <v/>
      </c>
      <c r="I6" s="3">
        <f>IF(G6="", "", IF(G6=D6,Settings!$B$3,0))</f>
        <v/>
      </c>
      <c r="J6" s="3">
        <f>IF(OR(E6="",H6=""),"",E6+H6)</f>
        <v/>
      </c>
      <c r="K6" s="3">
        <f>IF(OR(F6="",I6=""),"",F6+I6)</f>
        <v/>
      </c>
      <c r="L6" s="2" t="n"/>
      <c r="M6" s="3">
        <f>IF(AND(A6&lt;&gt;"",B6&lt;&gt;"",C6&lt;&gt;"",D6&lt;&gt;"",E6&lt;&gt;"",F6&lt;&gt;""),1,0)</f>
        <v/>
      </c>
      <c r="N6" s="3">
        <f>IF(M6=0,"",IF(E6&gt;F6,1,0))</f>
        <v/>
      </c>
      <c r="O6" s="3">
        <f>IF(M6=0,"",IF(E6&lt;F6,1,0))</f>
        <v/>
      </c>
      <c r="P6" s="3">
        <f>IF(M6=0,"",IF(E6=F6,1,0))</f>
        <v/>
      </c>
      <c r="Q6" s="3">
        <f>IF(M6=0,"",IF(F6&gt;E6,1,0))</f>
        <v/>
      </c>
      <c r="R6" s="3">
        <f>IF(M6=0,"",IF(F6&lt;E6,1,0))</f>
        <v/>
      </c>
      <c r="S6" s="3">
        <f>IF(M6=0,"",IF(F6=E6,1,0))</f>
        <v/>
      </c>
      <c r="T6" s="2">
        <f>IF(M6=0,"",IF(E6&gt;F6,C6&amp;" def. "&amp;D6,IF(E6&lt;F6,D6&amp;" def. "&amp;C6,C6&amp;" tied "&amp;D6))&amp;" "&amp;TEXT(E6,"0.0")&amp;"–"&amp;TEXT(F6,"0.0"))</f>
        <v/>
      </c>
    </row>
    <row r="7">
      <c r="A7" s="2" t="n"/>
      <c r="B7" s="3" t="n"/>
      <c r="C7" s="2" t="n"/>
      <c r="D7" s="2" t="n"/>
      <c r="E7" s="3" t="n"/>
      <c r="F7" s="3" t="n"/>
      <c r="G7" s="2">
        <f>IF(OR(E7="",F7=""),"",IF(E7&gt;F7,C7,IF(E7&lt;F7,D7,"TIE")))</f>
        <v/>
      </c>
      <c r="H7" s="3">
        <f>IF(G7="", "", IF(G7=C7,Settings!$B$3,0))</f>
        <v/>
      </c>
      <c r="I7" s="3">
        <f>IF(G7="", "", IF(G7=D7,Settings!$B$3,0))</f>
        <v/>
      </c>
      <c r="J7" s="3">
        <f>IF(OR(E7="",H7=""),"",E7+H7)</f>
        <v/>
      </c>
      <c r="K7" s="3">
        <f>IF(OR(F7="",I7=""),"",F7+I7)</f>
        <v/>
      </c>
      <c r="L7" s="2" t="n"/>
      <c r="M7" s="3">
        <f>IF(AND(A7&lt;&gt;"",B7&lt;&gt;"",C7&lt;&gt;"",D7&lt;&gt;"",E7&lt;&gt;"",F7&lt;&gt;""),1,0)</f>
        <v/>
      </c>
      <c r="N7" s="3">
        <f>IF(M7=0,"",IF(E7&gt;F7,1,0))</f>
        <v/>
      </c>
      <c r="O7" s="3">
        <f>IF(M7=0,"",IF(E7&lt;F7,1,0))</f>
        <v/>
      </c>
      <c r="P7" s="3">
        <f>IF(M7=0,"",IF(E7=F7,1,0))</f>
        <v/>
      </c>
      <c r="Q7" s="3">
        <f>IF(M7=0,"",IF(F7&gt;E7,1,0))</f>
        <v/>
      </c>
      <c r="R7" s="3">
        <f>IF(M7=0,"",IF(F7&lt;E7,1,0))</f>
        <v/>
      </c>
      <c r="S7" s="3">
        <f>IF(M7=0,"",IF(F7=E7,1,0))</f>
        <v/>
      </c>
      <c r="T7" s="2">
        <f>IF(M7=0,"",IF(E7&gt;F7,C7&amp;" def. "&amp;D7,IF(E7&lt;F7,D7&amp;" def. "&amp;C7,C7&amp;" tied "&amp;D7))&amp;" "&amp;TEXT(E7,"0.0")&amp;"–"&amp;TEXT(F7,"0.0"))</f>
        <v/>
      </c>
    </row>
    <row r="8">
      <c r="A8" s="2" t="n"/>
      <c r="B8" s="3" t="n"/>
      <c r="C8" s="2" t="n"/>
      <c r="D8" s="2" t="n"/>
      <c r="E8" s="3" t="n"/>
      <c r="F8" s="3" t="n"/>
      <c r="G8" s="2">
        <f>IF(OR(E8="",F8=""),"",IF(E8&gt;F8,C8,IF(E8&lt;F8,D8,"TIE")))</f>
        <v/>
      </c>
      <c r="H8" s="3">
        <f>IF(G8="", "", IF(G8=C8,Settings!$B$3,0))</f>
        <v/>
      </c>
      <c r="I8" s="3">
        <f>IF(G8="", "", IF(G8=D8,Settings!$B$3,0))</f>
        <v/>
      </c>
      <c r="J8" s="3">
        <f>IF(OR(E8="",H8=""),"",E8+H8)</f>
        <v/>
      </c>
      <c r="K8" s="3">
        <f>IF(OR(F8="",I8=""),"",F8+I8)</f>
        <v/>
      </c>
      <c r="L8" s="2" t="n"/>
      <c r="M8" s="3">
        <f>IF(AND(A8&lt;&gt;"",B8&lt;&gt;"",C8&lt;&gt;"",D8&lt;&gt;"",E8&lt;&gt;"",F8&lt;&gt;""),1,0)</f>
        <v/>
      </c>
      <c r="N8" s="3">
        <f>IF(M8=0,"",IF(E8&gt;F8,1,0))</f>
        <v/>
      </c>
      <c r="O8" s="3">
        <f>IF(M8=0,"",IF(E8&lt;F8,1,0))</f>
        <v/>
      </c>
      <c r="P8" s="3">
        <f>IF(M8=0,"",IF(E8=F8,1,0))</f>
        <v/>
      </c>
      <c r="Q8" s="3">
        <f>IF(M8=0,"",IF(F8&gt;E8,1,0))</f>
        <v/>
      </c>
      <c r="R8" s="3">
        <f>IF(M8=0,"",IF(F8&lt;E8,1,0))</f>
        <v/>
      </c>
      <c r="S8" s="3">
        <f>IF(M8=0,"",IF(F8=E8,1,0))</f>
        <v/>
      </c>
      <c r="T8" s="2">
        <f>IF(M8=0,"",IF(E8&gt;F8,C8&amp;" def. "&amp;D8,IF(E8&lt;F8,D8&amp;" def. "&amp;C8,C8&amp;" tied "&amp;D8))&amp;" "&amp;TEXT(E8,"0.0")&amp;"–"&amp;TEXT(F8,"0.0"))</f>
        <v/>
      </c>
    </row>
    <row r="9">
      <c r="A9" s="2" t="n"/>
      <c r="B9" s="3" t="n"/>
      <c r="C9" s="2" t="n"/>
      <c r="D9" s="2" t="n"/>
      <c r="E9" s="3" t="n"/>
      <c r="F9" s="3" t="n"/>
      <c r="G9" s="2">
        <f>IF(OR(E9="",F9=""),"",IF(E9&gt;F9,C9,IF(E9&lt;F9,D9,"TIE")))</f>
        <v/>
      </c>
      <c r="H9" s="3">
        <f>IF(G9="", "", IF(G9=C9,Settings!$B$3,0))</f>
        <v/>
      </c>
      <c r="I9" s="3">
        <f>IF(G9="", "", IF(G9=D9,Settings!$B$3,0))</f>
        <v/>
      </c>
      <c r="J9" s="3">
        <f>IF(OR(E9="",H9=""),"",E9+H9)</f>
        <v/>
      </c>
      <c r="K9" s="3">
        <f>IF(OR(F9="",I9=""),"",F9+I9)</f>
        <v/>
      </c>
      <c r="L9" s="2" t="n"/>
      <c r="M9" s="3">
        <f>IF(AND(A9&lt;&gt;"",B9&lt;&gt;"",C9&lt;&gt;"",D9&lt;&gt;"",E9&lt;&gt;"",F9&lt;&gt;""),1,0)</f>
        <v/>
      </c>
      <c r="N9" s="3">
        <f>IF(M9=0,"",IF(E9&gt;F9,1,0))</f>
        <v/>
      </c>
      <c r="O9" s="3">
        <f>IF(M9=0,"",IF(E9&lt;F9,1,0))</f>
        <v/>
      </c>
      <c r="P9" s="3">
        <f>IF(M9=0,"",IF(E9=F9,1,0))</f>
        <v/>
      </c>
      <c r="Q9" s="3">
        <f>IF(M9=0,"",IF(F9&gt;E9,1,0))</f>
        <v/>
      </c>
      <c r="R9" s="3">
        <f>IF(M9=0,"",IF(F9&lt;E9,1,0))</f>
        <v/>
      </c>
      <c r="S9" s="3">
        <f>IF(M9=0,"",IF(F9=E9,1,0))</f>
        <v/>
      </c>
      <c r="T9" s="2">
        <f>IF(M9=0,"",IF(E9&gt;F9,C9&amp;" def. "&amp;D9,IF(E9&lt;F9,D9&amp;" def. "&amp;C9,C9&amp;" tied "&amp;D9))&amp;" "&amp;TEXT(E9,"0.0")&amp;"–"&amp;TEXT(F9,"0.0"))</f>
        <v/>
      </c>
    </row>
    <row r="10">
      <c r="A10" s="2" t="n"/>
      <c r="B10" s="3" t="n"/>
      <c r="C10" s="2" t="n"/>
      <c r="D10" s="2" t="n"/>
      <c r="E10" s="3" t="n"/>
      <c r="F10" s="3" t="n"/>
      <c r="G10" s="2">
        <f>IF(OR(E10="",F10=""),"",IF(E10&gt;F10,C10,IF(E10&lt;F10,D10,"TIE")))</f>
        <v/>
      </c>
      <c r="H10" s="3">
        <f>IF(G10="", "", IF(G10=C10,Settings!$B$3,0))</f>
        <v/>
      </c>
      <c r="I10" s="3">
        <f>IF(G10="", "", IF(G10=D10,Settings!$B$3,0))</f>
        <v/>
      </c>
      <c r="J10" s="3">
        <f>IF(OR(E10="",H10=""),"",E10+H10)</f>
        <v/>
      </c>
      <c r="K10" s="3">
        <f>IF(OR(F10="",I10=""),"",F10+I10)</f>
        <v/>
      </c>
      <c r="L10" s="2" t="n"/>
      <c r="M10" s="3">
        <f>IF(AND(A10&lt;&gt;"",B10&lt;&gt;"",C10&lt;&gt;"",D10&lt;&gt;"",E10&lt;&gt;"",F10&lt;&gt;""),1,0)</f>
        <v/>
      </c>
      <c r="N10" s="3">
        <f>IF(M10=0,"",IF(E10&gt;F10,1,0))</f>
        <v/>
      </c>
      <c r="O10" s="3">
        <f>IF(M10=0,"",IF(E10&lt;F10,1,0))</f>
        <v/>
      </c>
      <c r="P10" s="3">
        <f>IF(M10=0,"",IF(E10=F10,1,0))</f>
        <v/>
      </c>
      <c r="Q10" s="3">
        <f>IF(M10=0,"",IF(F10&gt;E10,1,0))</f>
        <v/>
      </c>
      <c r="R10" s="3">
        <f>IF(M10=0,"",IF(F10&lt;E10,1,0))</f>
        <v/>
      </c>
      <c r="S10" s="3">
        <f>IF(M10=0,"",IF(F10=E10,1,0))</f>
        <v/>
      </c>
      <c r="T10" s="2">
        <f>IF(M10=0,"",IF(E10&gt;F10,C10&amp;" def. "&amp;D10,IF(E10&lt;F10,D10&amp;" def. "&amp;C10,C10&amp;" tied "&amp;D10))&amp;" "&amp;TEXT(E10,"0.0")&amp;"–"&amp;TEXT(F10,"0.0"))</f>
        <v/>
      </c>
    </row>
    <row r="11">
      <c r="A11" s="2" t="n"/>
      <c r="B11" s="3" t="n"/>
      <c r="C11" s="2" t="n"/>
      <c r="D11" s="2" t="n"/>
      <c r="E11" s="3" t="n"/>
      <c r="F11" s="3" t="n"/>
      <c r="G11" s="2">
        <f>IF(OR(E11="",F11=""),"",IF(E11&gt;F11,C11,IF(E11&lt;F11,D11,"TIE")))</f>
        <v/>
      </c>
      <c r="H11" s="3">
        <f>IF(G11="", "", IF(G11=C11,Settings!$B$3,0))</f>
        <v/>
      </c>
      <c r="I11" s="3">
        <f>IF(G11="", "", IF(G11=D11,Settings!$B$3,0))</f>
        <v/>
      </c>
      <c r="J11" s="3">
        <f>IF(OR(E11="",H11=""),"",E11+H11)</f>
        <v/>
      </c>
      <c r="K11" s="3">
        <f>IF(OR(F11="",I11=""),"",F11+I11)</f>
        <v/>
      </c>
      <c r="L11" s="2" t="n"/>
      <c r="M11" s="3">
        <f>IF(AND(A11&lt;&gt;"",B11&lt;&gt;"",C11&lt;&gt;"",D11&lt;&gt;"",E11&lt;&gt;"",F11&lt;&gt;""),1,0)</f>
        <v/>
      </c>
      <c r="N11" s="3">
        <f>IF(M11=0,"",IF(E11&gt;F11,1,0))</f>
        <v/>
      </c>
      <c r="O11" s="3">
        <f>IF(M11=0,"",IF(E11&lt;F11,1,0))</f>
        <v/>
      </c>
      <c r="P11" s="3">
        <f>IF(M11=0,"",IF(E11=F11,1,0))</f>
        <v/>
      </c>
      <c r="Q11" s="3">
        <f>IF(M11=0,"",IF(F11&gt;E11,1,0))</f>
        <v/>
      </c>
      <c r="R11" s="3">
        <f>IF(M11=0,"",IF(F11&lt;E11,1,0))</f>
        <v/>
      </c>
      <c r="S11" s="3">
        <f>IF(M11=0,"",IF(F11=E11,1,0))</f>
        <v/>
      </c>
      <c r="T11" s="2">
        <f>IF(M11=0,"",IF(E11&gt;F11,C11&amp;" def. "&amp;D11,IF(E11&lt;F11,D11&amp;" def. "&amp;C11,C11&amp;" tied "&amp;D11))&amp;" "&amp;TEXT(E11,"0.0")&amp;"–"&amp;TEXT(F11,"0.0"))</f>
        <v/>
      </c>
    </row>
    <row r="12">
      <c r="A12" s="2" t="n"/>
      <c r="B12" s="3" t="n"/>
      <c r="C12" s="2" t="n"/>
      <c r="D12" s="2" t="n"/>
      <c r="E12" s="3" t="n"/>
      <c r="F12" s="3" t="n"/>
      <c r="G12" s="2">
        <f>IF(OR(E12="",F12=""),"",IF(E12&gt;F12,C12,IF(E12&lt;F12,D12,"TIE")))</f>
        <v/>
      </c>
      <c r="H12" s="3">
        <f>IF(G12="", "", IF(G12=C12,Settings!$B$3,0))</f>
        <v/>
      </c>
      <c r="I12" s="3">
        <f>IF(G12="", "", IF(G12=D12,Settings!$B$3,0))</f>
        <v/>
      </c>
      <c r="J12" s="3">
        <f>IF(OR(E12="",H12=""),"",E12+H12)</f>
        <v/>
      </c>
      <c r="K12" s="3">
        <f>IF(OR(F12="",I12=""),"",F12+I12)</f>
        <v/>
      </c>
      <c r="L12" s="2" t="n"/>
      <c r="M12" s="3">
        <f>IF(AND(A12&lt;&gt;"",B12&lt;&gt;"",C12&lt;&gt;"",D12&lt;&gt;"",E12&lt;&gt;"",F12&lt;&gt;""),1,0)</f>
        <v/>
      </c>
      <c r="N12" s="3">
        <f>IF(M12=0,"",IF(E12&gt;F12,1,0))</f>
        <v/>
      </c>
      <c r="O12" s="3">
        <f>IF(M12=0,"",IF(E12&lt;F12,1,0))</f>
        <v/>
      </c>
      <c r="P12" s="3">
        <f>IF(M12=0,"",IF(E12=F12,1,0))</f>
        <v/>
      </c>
      <c r="Q12" s="3">
        <f>IF(M12=0,"",IF(F12&gt;E12,1,0))</f>
        <v/>
      </c>
      <c r="R12" s="3">
        <f>IF(M12=0,"",IF(F12&lt;E12,1,0))</f>
        <v/>
      </c>
      <c r="S12" s="3">
        <f>IF(M12=0,"",IF(F12=E12,1,0))</f>
        <v/>
      </c>
      <c r="T12" s="2">
        <f>IF(M12=0,"",IF(E12&gt;F12,C12&amp;" def. "&amp;D12,IF(E12&lt;F12,D12&amp;" def. "&amp;C12,C12&amp;" tied "&amp;D12))&amp;" "&amp;TEXT(E12,"0.0")&amp;"–"&amp;TEXT(F12,"0.0"))</f>
        <v/>
      </c>
    </row>
    <row r="13">
      <c r="A13" s="2" t="n"/>
      <c r="B13" s="3" t="n"/>
      <c r="C13" s="2" t="n"/>
      <c r="D13" s="2" t="n"/>
      <c r="E13" s="3" t="n"/>
      <c r="F13" s="3" t="n"/>
      <c r="G13" s="2">
        <f>IF(OR(E13="",F13=""),"",IF(E13&gt;F13,C13,IF(E13&lt;F13,D13,"TIE")))</f>
        <v/>
      </c>
      <c r="H13" s="3">
        <f>IF(G13="", "", IF(G13=C13,Settings!$B$3,0))</f>
        <v/>
      </c>
      <c r="I13" s="3">
        <f>IF(G13="", "", IF(G13=D13,Settings!$B$3,0))</f>
        <v/>
      </c>
      <c r="J13" s="3">
        <f>IF(OR(E13="",H13=""),"",E13+H13)</f>
        <v/>
      </c>
      <c r="K13" s="3">
        <f>IF(OR(F13="",I13=""),"",F13+I13)</f>
        <v/>
      </c>
      <c r="L13" s="2" t="n"/>
      <c r="M13" s="3">
        <f>IF(AND(A13&lt;&gt;"",B13&lt;&gt;"",C13&lt;&gt;"",D13&lt;&gt;"",E13&lt;&gt;"",F13&lt;&gt;""),1,0)</f>
        <v/>
      </c>
      <c r="N13" s="3">
        <f>IF(M13=0,"",IF(E13&gt;F13,1,0))</f>
        <v/>
      </c>
      <c r="O13" s="3">
        <f>IF(M13=0,"",IF(E13&lt;F13,1,0))</f>
        <v/>
      </c>
      <c r="P13" s="3">
        <f>IF(M13=0,"",IF(E13=F13,1,0))</f>
        <v/>
      </c>
      <c r="Q13" s="3">
        <f>IF(M13=0,"",IF(F13&gt;E13,1,0))</f>
        <v/>
      </c>
      <c r="R13" s="3">
        <f>IF(M13=0,"",IF(F13&lt;E13,1,0))</f>
        <v/>
      </c>
      <c r="S13" s="3">
        <f>IF(M13=0,"",IF(F13=E13,1,0))</f>
        <v/>
      </c>
      <c r="T13" s="2">
        <f>IF(M13=0,"",IF(E13&gt;F13,C13&amp;" def. "&amp;D13,IF(E13&lt;F13,D13&amp;" def. "&amp;C13,C13&amp;" tied "&amp;D13))&amp;" "&amp;TEXT(E13,"0.0")&amp;"–"&amp;TEXT(F13,"0.0"))</f>
        <v/>
      </c>
    </row>
    <row r="14">
      <c r="A14" s="2" t="n"/>
      <c r="B14" s="3" t="n"/>
      <c r="C14" s="2" t="n"/>
      <c r="D14" s="2" t="n"/>
      <c r="E14" s="3" t="n"/>
      <c r="F14" s="3" t="n"/>
      <c r="G14" s="2">
        <f>IF(OR(E14="",F14=""),"",IF(E14&gt;F14,C14,IF(E14&lt;F14,D14,"TIE")))</f>
        <v/>
      </c>
      <c r="H14" s="3">
        <f>IF(G14="", "", IF(G14=C14,Settings!$B$3,0))</f>
        <v/>
      </c>
      <c r="I14" s="3">
        <f>IF(G14="", "", IF(G14=D14,Settings!$B$3,0))</f>
        <v/>
      </c>
      <c r="J14" s="3">
        <f>IF(OR(E14="",H14=""),"",E14+H14)</f>
        <v/>
      </c>
      <c r="K14" s="3">
        <f>IF(OR(F14="",I14=""),"",F14+I14)</f>
        <v/>
      </c>
      <c r="L14" s="2" t="n"/>
      <c r="M14" s="3">
        <f>IF(AND(A14&lt;&gt;"",B14&lt;&gt;"",C14&lt;&gt;"",D14&lt;&gt;"",E14&lt;&gt;"",F14&lt;&gt;""),1,0)</f>
        <v/>
      </c>
      <c r="N14" s="3">
        <f>IF(M14=0,"",IF(E14&gt;F14,1,0))</f>
        <v/>
      </c>
      <c r="O14" s="3">
        <f>IF(M14=0,"",IF(E14&lt;F14,1,0))</f>
        <v/>
      </c>
      <c r="P14" s="3">
        <f>IF(M14=0,"",IF(E14=F14,1,0))</f>
        <v/>
      </c>
      <c r="Q14" s="3">
        <f>IF(M14=0,"",IF(F14&gt;E14,1,0))</f>
        <v/>
      </c>
      <c r="R14" s="3">
        <f>IF(M14=0,"",IF(F14&lt;E14,1,0))</f>
        <v/>
      </c>
      <c r="S14" s="3">
        <f>IF(M14=0,"",IF(F14=E14,1,0))</f>
        <v/>
      </c>
      <c r="T14" s="2">
        <f>IF(M14=0,"",IF(E14&gt;F14,C14&amp;" def. "&amp;D14,IF(E14&lt;F14,D14&amp;" def. "&amp;C14,C14&amp;" tied "&amp;D14))&amp;" "&amp;TEXT(E14,"0.0")&amp;"–"&amp;TEXT(F14,"0.0"))</f>
        <v/>
      </c>
    </row>
    <row r="15">
      <c r="A15" s="2" t="n"/>
      <c r="B15" s="3" t="n"/>
      <c r="C15" s="2" t="n"/>
      <c r="D15" s="2" t="n"/>
      <c r="E15" s="3" t="n"/>
      <c r="F15" s="3" t="n"/>
      <c r="G15" s="2">
        <f>IF(OR(E15="",F15=""),"",IF(E15&gt;F15,C15,IF(E15&lt;F15,D15,"TIE")))</f>
        <v/>
      </c>
      <c r="H15" s="3">
        <f>IF(G15="", "", IF(G15=C15,Settings!$B$3,0))</f>
        <v/>
      </c>
      <c r="I15" s="3">
        <f>IF(G15="", "", IF(G15=D15,Settings!$B$3,0))</f>
        <v/>
      </c>
      <c r="J15" s="3">
        <f>IF(OR(E15="",H15=""),"",E15+H15)</f>
        <v/>
      </c>
      <c r="K15" s="3">
        <f>IF(OR(F15="",I15=""),"",F15+I15)</f>
        <v/>
      </c>
      <c r="L15" s="2" t="n"/>
      <c r="M15" s="3">
        <f>IF(AND(A15&lt;&gt;"",B15&lt;&gt;"",C15&lt;&gt;"",D15&lt;&gt;"",E15&lt;&gt;"",F15&lt;&gt;""),1,0)</f>
        <v/>
      </c>
      <c r="N15" s="3">
        <f>IF(M15=0,"",IF(E15&gt;F15,1,0))</f>
        <v/>
      </c>
      <c r="O15" s="3">
        <f>IF(M15=0,"",IF(E15&lt;F15,1,0))</f>
        <v/>
      </c>
      <c r="P15" s="3">
        <f>IF(M15=0,"",IF(E15=F15,1,0))</f>
        <v/>
      </c>
      <c r="Q15" s="3">
        <f>IF(M15=0,"",IF(F15&gt;E15,1,0))</f>
        <v/>
      </c>
      <c r="R15" s="3">
        <f>IF(M15=0,"",IF(F15&lt;E15,1,0))</f>
        <v/>
      </c>
      <c r="S15" s="3">
        <f>IF(M15=0,"",IF(F15=E15,1,0))</f>
        <v/>
      </c>
      <c r="T15" s="2">
        <f>IF(M15=0,"",IF(E15&gt;F15,C15&amp;" def. "&amp;D15,IF(E15&lt;F15,D15&amp;" def. "&amp;C15,C15&amp;" tied "&amp;D15))&amp;" "&amp;TEXT(E15,"0.0")&amp;"–"&amp;TEXT(F15,"0.0"))</f>
        <v/>
      </c>
    </row>
    <row r="16">
      <c r="A16" s="2" t="n"/>
      <c r="B16" s="3" t="n"/>
      <c r="C16" s="2" t="n"/>
      <c r="D16" s="2" t="n"/>
      <c r="E16" s="3" t="n"/>
      <c r="F16" s="3" t="n"/>
      <c r="G16" s="2">
        <f>IF(OR(E16="",F16=""),"",IF(E16&gt;F16,C16,IF(E16&lt;F16,D16,"TIE")))</f>
        <v/>
      </c>
      <c r="H16" s="3">
        <f>IF(G16="", "", IF(G16=C16,Settings!$B$3,0))</f>
        <v/>
      </c>
      <c r="I16" s="3">
        <f>IF(G16="", "", IF(G16=D16,Settings!$B$3,0))</f>
        <v/>
      </c>
      <c r="J16" s="3">
        <f>IF(OR(E16="",H16=""),"",E16+H16)</f>
        <v/>
      </c>
      <c r="K16" s="3">
        <f>IF(OR(F16="",I16=""),"",F16+I16)</f>
        <v/>
      </c>
      <c r="L16" s="2" t="n"/>
      <c r="M16" s="3">
        <f>IF(AND(A16&lt;&gt;"",B16&lt;&gt;"",C16&lt;&gt;"",D16&lt;&gt;"",E16&lt;&gt;"",F16&lt;&gt;""),1,0)</f>
        <v/>
      </c>
      <c r="N16" s="3">
        <f>IF(M16=0,"",IF(E16&gt;F16,1,0))</f>
        <v/>
      </c>
      <c r="O16" s="3">
        <f>IF(M16=0,"",IF(E16&lt;F16,1,0))</f>
        <v/>
      </c>
      <c r="P16" s="3">
        <f>IF(M16=0,"",IF(E16=F16,1,0))</f>
        <v/>
      </c>
      <c r="Q16" s="3">
        <f>IF(M16=0,"",IF(F16&gt;E16,1,0))</f>
        <v/>
      </c>
      <c r="R16" s="3">
        <f>IF(M16=0,"",IF(F16&lt;E16,1,0))</f>
        <v/>
      </c>
      <c r="S16" s="3">
        <f>IF(M16=0,"",IF(F16=E16,1,0))</f>
        <v/>
      </c>
      <c r="T16" s="2">
        <f>IF(M16=0,"",IF(E16&gt;F16,C16&amp;" def. "&amp;D16,IF(E16&lt;F16,D16&amp;" def. "&amp;C16,C16&amp;" tied "&amp;D16))&amp;" "&amp;TEXT(E16,"0.0")&amp;"–"&amp;TEXT(F16,"0.0"))</f>
        <v/>
      </c>
    </row>
    <row r="17">
      <c r="A17" s="2" t="n"/>
      <c r="B17" s="3" t="n"/>
      <c r="C17" s="2" t="n"/>
      <c r="D17" s="2" t="n"/>
      <c r="E17" s="3" t="n"/>
      <c r="F17" s="3" t="n"/>
      <c r="G17" s="2">
        <f>IF(OR(E17="",F17=""),"",IF(E17&gt;F17,C17,IF(E17&lt;F17,D17,"TIE")))</f>
        <v/>
      </c>
      <c r="H17" s="3">
        <f>IF(G17="", "", IF(G17=C17,Settings!$B$3,0))</f>
        <v/>
      </c>
      <c r="I17" s="3">
        <f>IF(G17="", "", IF(G17=D17,Settings!$B$3,0))</f>
        <v/>
      </c>
      <c r="J17" s="3">
        <f>IF(OR(E17="",H17=""),"",E17+H17)</f>
        <v/>
      </c>
      <c r="K17" s="3">
        <f>IF(OR(F17="",I17=""),"",F17+I17)</f>
        <v/>
      </c>
      <c r="L17" s="2" t="n"/>
      <c r="M17" s="3">
        <f>IF(AND(A17&lt;&gt;"",B17&lt;&gt;"",C17&lt;&gt;"",D17&lt;&gt;"",E17&lt;&gt;"",F17&lt;&gt;""),1,0)</f>
        <v/>
      </c>
      <c r="N17" s="3">
        <f>IF(M17=0,"",IF(E17&gt;F17,1,0))</f>
        <v/>
      </c>
      <c r="O17" s="3">
        <f>IF(M17=0,"",IF(E17&lt;F17,1,0))</f>
        <v/>
      </c>
      <c r="P17" s="3">
        <f>IF(M17=0,"",IF(E17=F17,1,0))</f>
        <v/>
      </c>
      <c r="Q17" s="3">
        <f>IF(M17=0,"",IF(F17&gt;E17,1,0))</f>
        <v/>
      </c>
      <c r="R17" s="3">
        <f>IF(M17=0,"",IF(F17&lt;E17,1,0))</f>
        <v/>
      </c>
      <c r="S17" s="3">
        <f>IF(M17=0,"",IF(F17=E17,1,0))</f>
        <v/>
      </c>
      <c r="T17" s="2">
        <f>IF(M17=0,"",IF(E17&gt;F17,C17&amp;" def. "&amp;D17,IF(E17&lt;F17,D17&amp;" def. "&amp;C17,C17&amp;" tied "&amp;D17))&amp;" "&amp;TEXT(E17,"0.0")&amp;"–"&amp;TEXT(F17,"0.0"))</f>
        <v/>
      </c>
    </row>
    <row r="18">
      <c r="A18" s="2" t="n"/>
      <c r="B18" s="3" t="n"/>
      <c r="C18" s="2" t="n"/>
      <c r="D18" s="2" t="n"/>
      <c r="E18" s="3" t="n"/>
      <c r="F18" s="3" t="n"/>
      <c r="G18" s="2">
        <f>IF(OR(E18="",F18=""),"",IF(E18&gt;F18,C18,IF(E18&lt;F18,D18,"TIE")))</f>
        <v/>
      </c>
      <c r="H18" s="3">
        <f>IF(G18="", "", IF(G18=C18,Settings!$B$3,0))</f>
        <v/>
      </c>
      <c r="I18" s="3">
        <f>IF(G18="", "", IF(G18=D18,Settings!$B$3,0))</f>
        <v/>
      </c>
      <c r="J18" s="3">
        <f>IF(OR(E18="",H18=""),"",E18+H18)</f>
        <v/>
      </c>
      <c r="K18" s="3">
        <f>IF(OR(F18="",I18=""),"",F18+I18)</f>
        <v/>
      </c>
      <c r="L18" s="2" t="n"/>
      <c r="M18" s="3">
        <f>IF(AND(A18&lt;&gt;"",B18&lt;&gt;"",C18&lt;&gt;"",D18&lt;&gt;"",E18&lt;&gt;"",F18&lt;&gt;""),1,0)</f>
        <v/>
      </c>
      <c r="N18" s="3">
        <f>IF(M18=0,"",IF(E18&gt;F18,1,0))</f>
        <v/>
      </c>
      <c r="O18" s="3">
        <f>IF(M18=0,"",IF(E18&lt;F18,1,0))</f>
        <v/>
      </c>
      <c r="P18" s="3">
        <f>IF(M18=0,"",IF(E18=F18,1,0))</f>
        <v/>
      </c>
      <c r="Q18" s="3">
        <f>IF(M18=0,"",IF(F18&gt;E18,1,0))</f>
        <v/>
      </c>
      <c r="R18" s="3">
        <f>IF(M18=0,"",IF(F18&lt;E18,1,0))</f>
        <v/>
      </c>
      <c r="S18" s="3">
        <f>IF(M18=0,"",IF(F18=E18,1,0))</f>
        <v/>
      </c>
      <c r="T18" s="2">
        <f>IF(M18=0,"",IF(E18&gt;F18,C18&amp;" def. "&amp;D18,IF(E18&lt;F18,D18&amp;" def. "&amp;C18,C18&amp;" tied "&amp;D18))&amp;" "&amp;TEXT(E18,"0.0")&amp;"–"&amp;TEXT(F18,"0.0"))</f>
        <v/>
      </c>
    </row>
    <row r="19">
      <c r="A19" s="2" t="n"/>
      <c r="B19" s="3" t="n"/>
      <c r="C19" s="2" t="n"/>
      <c r="D19" s="2" t="n"/>
      <c r="E19" s="3" t="n"/>
      <c r="F19" s="3" t="n"/>
      <c r="G19" s="2">
        <f>IF(OR(E19="",F19=""),"",IF(E19&gt;F19,C19,IF(E19&lt;F19,D19,"TIE")))</f>
        <v/>
      </c>
      <c r="H19" s="3">
        <f>IF(G19="", "", IF(G19=C19,Settings!$B$3,0))</f>
        <v/>
      </c>
      <c r="I19" s="3">
        <f>IF(G19="", "", IF(G19=D19,Settings!$B$3,0))</f>
        <v/>
      </c>
      <c r="J19" s="3">
        <f>IF(OR(E19="",H19=""),"",E19+H19)</f>
        <v/>
      </c>
      <c r="K19" s="3">
        <f>IF(OR(F19="",I19=""),"",F19+I19)</f>
        <v/>
      </c>
      <c r="L19" s="2" t="n"/>
      <c r="M19" s="3">
        <f>IF(AND(A19&lt;&gt;"",B19&lt;&gt;"",C19&lt;&gt;"",D19&lt;&gt;"",E19&lt;&gt;"",F19&lt;&gt;""),1,0)</f>
        <v/>
      </c>
      <c r="N19" s="3">
        <f>IF(M19=0,"",IF(E19&gt;F19,1,0))</f>
        <v/>
      </c>
      <c r="O19" s="3">
        <f>IF(M19=0,"",IF(E19&lt;F19,1,0))</f>
        <v/>
      </c>
      <c r="P19" s="3">
        <f>IF(M19=0,"",IF(E19=F19,1,0))</f>
        <v/>
      </c>
      <c r="Q19" s="3">
        <f>IF(M19=0,"",IF(F19&gt;E19,1,0))</f>
        <v/>
      </c>
      <c r="R19" s="3">
        <f>IF(M19=0,"",IF(F19&lt;E19,1,0))</f>
        <v/>
      </c>
      <c r="S19" s="3">
        <f>IF(M19=0,"",IF(F19=E19,1,0))</f>
        <v/>
      </c>
      <c r="T19" s="2">
        <f>IF(M19=0,"",IF(E19&gt;F19,C19&amp;" def. "&amp;D19,IF(E19&lt;F19,D19&amp;" def. "&amp;C19,C19&amp;" tied "&amp;D19))&amp;" "&amp;TEXT(E19,"0.0")&amp;"–"&amp;TEXT(F19,"0.0"))</f>
        <v/>
      </c>
    </row>
    <row r="20">
      <c r="A20" s="2" t="n"/>
      <c r="B20" s="3" t="n"/>
      <c r="C20" s="2" t="n"/>
      <c r="D20" s="2" t="n"/>
      <c r="E20" s="3" t="n"/>
      <c r="F20" s="3" t="n"/>
      <c r="G20" s="2">
        <f>IF(OR(E20="",F20=""),"",IF(E20&gt;F20,C20,IF(E20&lt;F20,D20,"TIE")))</f>
        <v/>
      </c>
      <c r="H20" s="3">
        <f>IF(G20="", "", IF(G20=C20,Settings!$B$3,0))</f>
        <v/>
      </c>
      <c r="I20" s="3">
        <f>IF(G20="", "", IF(G20=D20,Settings!$B$3,0))</f>
        <v/>
      </c>
      <c r="J20" s="3">
        <f>IF(OR(E20="",H20=""),"",E20+H20)</f>
        <v/>
      </c>
      <c r="K20" s="3">
        <f>IF(OR(F20="",I20=""),"",F20+I20)</f>
        <v/>
      </c>
      <c r="L20" s="2" t="n"/>
      <c r="M20" s="3">
        <f>IF(AND(A20&lt;&gt;"",B20&lt;&gt;"",C20&lt;&gt;"",D20&lt;&gt;"",E20&lt;&gt;"",F20&lt;&gt;""),1,0)</f>
        <v/>
      </c>
      <c r="N20" s="3">
        <f>IF(M20=0,"",IF(E20&gt;F20,1,0))</f>
        <v/>
      </c>
      <c r="O20" s="3">
        <f>IF(M20=0,"",IF(E20&lt;F20,1,0))</f>
        <v/>
      </c>
      <c r="P20" s="3">
        <f>IF(M20=0,"",IF(E20=F20,1,0))</f>
        <v/>
      </c>
      <c r="Q20" s="3">
        <f>IF(M20=0,"",IF(F20&gt;E20,1,0))</f>
        <v/>
      </c>
      <c r="R20" s="3">
        <f>IF(M20=0,"",IF(F20&lt;E20,1,0))</f>
        <v/>
      </c>
      <c r="S20" s="3">
        <f>IF(M20=0,"",IF(F20=E20,1,0))</f>
        <v/>
      </c>
      <c r="T20" s="2">
        <f>IF(M20=0,"",IF(E20&gt;F20,C20&amp;" def. "&amp;D20,IF(E20&lt;F20,D20&amp;" def. "&amp;C20,C20&amp;" tied "&amp;D20))&amp;" "&amp;TEXT(E20,"0.0")&amp;"–"&amp;TEXT(F20,"0.0"))</f>
        <v/>
      </c>
    </row>
    <row r="21">
      <c r="A21" s="2" t="n"/>
      <c r="B21" s="3" t="n"/>
      <c r="C21" s="2" t="n"/>
      <c r="D21" s="2" t="n"/>
      <c r="E21" s="3" t="n"/>
      <c r="F21" s="3" t="n"/>
      <c r="G21" s="2">
        <f>IF(OR(E21="",F21=""),"",IF(E21&gt;F21,C21,IF(E21&lt;F21,D21,"TIE")))</f>
        <v/>
      </c>
      <c r="H21" s="3">
        <f>IF(G21="", "", IF(G21=C21,Settings!$B$3,0))</f>
        <v/>
      </c>
      <c r="I21" s="3">
        <f>IF(G21="", "", IF(G21=D21,Settings!$B$3,0))</f>
        <v/>
      </c>
      <c r="J21" s="3">
        <f>IF(OR(E21="",H21=""),"",E21+H21)</f>
        <v/>
      </c>
      <c r="K21" s="3">
        <f>IF(OR(F21="",I21=""),"",F21+I21)</f>
        <v/>
      </c>
      <c r="L21" s="2" t="n"/>
      <c r="M21" s="3">
        <f>IF(AND(A21&lt;&gt;"",B21&lt;&gt;"",C21&lt;&gt;"",D21&lt;&gt;"",E21&lt;&gt;"",F21&lt;&gt;""),1,0)</f>
        <v/>
      </c>
      <c r="N21" s="3">
        <f>IF(M21=0,"",IF(E21&gt;F21,1,0))</f>
        <v/>
      </c>
      <c r="O21" s="3">
        <f>IF(M21=0,"",IF(E21&lt;F21,1,0))</f>
        <v/>
      </c>
      <c r="P21" s="3">
        <f>IF(M21=0,"",IF(E21=F21,1,0))</f>
        <v/>
      </c>
      <c r="Q21" s="3">
        <f>IF(M21=0,"",IF(F21&gt;E21,1,0))</f>
        <v/>
      </c>
      <c r="R21" s="3">
        <f>IF(M21=0,"",IF(F21&lt;E21,1,0))</f>
        <v/>
      </c>
      <c r="S21" s="3">
        <f>IF(M21=0,"",IF(F21=E21,1,0))</f>
        <v/>
      </c>
      <c r="T21" s="2">
        <f>IF(M21=0,"",IF(E21&gt;F21,C21&amp;" def. "&amp;D21,IF(E21&lt;F21,D21&amp;" def. "&amp;C21,C21&amp;" tied "&amp;D21))&amp;" "&amp;TEXT(E21,"0.0")&amp;"–"&amp;TEXT(F21,"0.0"))</f>
        <v/>
      </c>
    </row>
    <row r="22">
      <c r="A22" s="2" t="n"/>
      <c r="B22" s="3" t="n"/>
      <c r="C22" s="2" t="n"/>
      <c r="D22" s="2" t="n"/>
      <c r="E22" s="3" t="n"/>
      <c r="F22" s="3" t="n"/>
      <c r="G22" s="2">
        <f>IF(OR(E22="",F22=""),"",IF(E22&gt;F22,C22,IF(E22&lt;F22,D22,"TIE")))</f>
        <v/>
      </c>
      <c r="H22" s="3">
        <f>IF(G22="", "", IF(G22=C22,Settings!$B$3,0))</f>
        <v/>
      </c>
      <c r="I22" s="3">
        <f>IF(G22="", "", IF(G22=D22,Settings!$B$3,0))</f>
        <v/>
      </c>
      <c r="J22" s="3">
        <f>IF(OR(E22="",H22=""),"",E22+H22)</f>
        <v/>
      </c>
      <c r="K22" s="3">
        <f>IF(OR(F22="",I22=""),"",F22+I22)</f>
        <v/>
      </c>
      <c r="L22" s="2" t="n"/>
      <c r="M22" s="3">
        <f>IF(AND(A22&lt;&gt;"",B22&lt;&gt;"",C22&lt;&gt;"",D22&lt;&gt;"",E22&lt;&gt;"",F22&lt;&gt;""),1,0)</f>
        <v/>
      </c>
      <c r="N22" s="3">
        <f>IF(M22=0,"",IF(E22&gt;F22,1,0))</f>
        <v/>
      </c>
      <c r="O22" s="3">
        <f>IF(M22=0,"",IF(E22&lt;F22,1,0))</f>
        <v/>
      </c>
      <c r="P22" s="3">
        <f>IF(M22=0,"",IF(E22=F22,1,0))</f>
        <v/>
      </c>
      <c r="Q22" s="3">
        <f>IF(M22=0,"",IF(F22&gt;E22,1,0))</f>
        <v/>
      </c>
      <c r="R22" s="3">
        <f>IF(M22=0,"",IF(F22&lt;E22,1,0))</f>
        <v/>
      </c>
      <c r="S22" s="3">
        <f>IF(M22=0,"",IF(F22=E22,1,0))</f>
        <v/>
      </c>
      <c r="T22" s="2">
        <f>IF(M22=0,"",IF(E22&gt;F22,C22&amp;" def. "&amp;D22,IF(E22&lt;F22,D22&amp;" def. "&amp;C22,C22&amp;" tied "&amp;D22))&amp;" "&amp;TEXT(E22,"0.0")&amp;"–"&amp;TEXT(F22,"0.0"))</f>
        <v/>
      </c>
    </row>
    <row r="23">
      <c r="A23" s="2" t="n"/>
      <c r="B23" s="3" t="n"/>
      <c r="C23" s="2" t="n"/>
      <c r="D23" s="2" t="n"/>
      <c r="E23" s="3" t="n"/>
      <c r="F23" s="3" t="n"/>
      <c r="G23" s="2">
        <f>IF(OR(E23="",F23=""),"",IF(E23&gt;F23,C23,IF(E23&lt;F23,D23,"TIE")))</f>
        <v/>
      </c>
      <c r="H23" s="3">
        <f>IF(G23="", "", IF(G23=C23,Settings!$B$3,0))</f>
        <v/>
      </c>
      <c r="I23" s="3">
        <f>IF(G23="", "", IF(G23=D23,Settings!$B$3,0))</f>
        <v/>
      </c>
      <c r="J23" s="3">
        <f>IF(OR(E23="",H23=""),"",E23+H23)</f>
        <v/>
      </c>
      <c r="K23" s="3">
        <f>IF(OR(F23="",I23=""),"",F23+I23)</f>
        <v/>
      </c>
      <c r="L23" s="2" t="n"/>
      <c r="M23" s="3">
        <f>IF(AND(A23&lt;&gt;"",B23&lt;&gt;"",C23&lt;&gt;"",D23&lt;&gt;"",E23&lt;&gt;"",F23&lt;&gt;""),1,0)</f>
        <v/>
      </c>
      <c r="N23" s="3">
        <f>IF(M23=0,"",IF(E23&gt;F23,1,0))</f>
        <v/>
      </c>
      <c r="O23" s="3">
        <f>IF(M23=0,"",IF(E23&lt;F23,1,0))</f>
        <v/>
      </c>
      <c r="P23" s="3">
        <f>IF(M23=0,"",IF(E23=F23,1,0))</f>
        <v/>
      </c>
      <c r="Q23" s="3">
        <f>IF(M23=0,"",IF(F23&gt;E23,1,0))</f>
        <v/>
      </c>
      <c r="R23" s="3">
        <f>IF(M23=0,"",IF(F23&lt;E23,1,0))</f>
        <v/>
      </c>
      <c r="S23" s="3">
        <f>IF(M23=0,"",IF(F23=E23,1,0))</f>
        <v/>
      </c>
      <c r="T23" s="2">
        <f>IF(M23=0,"",IF(E23&gt;F23,C23&amp;" def. "&amp;D23,IF(E23&lt;F23,D23&amp;" def. "&amp;C23,C23&amp;" tied "&amp;D23))&amp;" "&amp;TEXT(E23,"0.0")&amp;"–"&amp;TEXT(F23,"0.0"))</f>
        <v/>
      </c>
    </row>
    <row r="24">
      <c r="A24" s="2" t="n"/>
      <c r="B24" s="3" t="n"/>
      <c r="C24" s="2" t="n"/>
      <c r="D24" s="2" t="n"/>
      <c r="E24" s="3" t="n"/>
      <c r="F24" s="3" t="n"/>
      <c r="G24" s="2">
        <f>IF(OR(E24="",F24=""),"",IF(E24&gt;F24,C24,IF(E24&lt;F24,D24,"TIE")))</f>
        <v/>
      </c>
      <c r="H24" s="3">
        <f>IF(G24="", "", IF(G24=C24,Settings!$B$3,0))</f>
        <v/>
      </c>
      <c r="I24" s="3">
        <f>IF(G24="", "", IF(G24=D24,Settings!$B$3,0))</f>
        <v/>
      </c>
      <c r="J24" s="3">
        <f>IF(OR(E24="",H24=""),"",E24+H24)</f>
        <v/>
      </c>
      <c r="K24" s="3">
        <f>IF(OR(F24="",I24=""),"",F24+I24)</f>
        <v/>
      </c>
      <c r="L24" s="2" t="n"/>
      <c r="M24" s="3">
        <f>IF(AND(A24&lt;&gt;"",B24&lt;&gt;"",C24&lt;&gt;"",D24&lt;&gt;"",E24&lt;&gt;"",F24&lt;&gt;""),1,0)</f>
        <v/>
      </c>
      <c r="N24" s="3">
        <f>IF(M24=0,"",IF(E24&gt;F24,1,0))</f>
        <v/>
      </c>
      <c r="O24" s="3">
        <f>IF(M24=0,"",IF(E24&lt;F24,1,0))</f>
        <v/>
      </c>
      <c r="P24" s="3">
        <f>IF(M24=0,"",IF(E24=F24,1,0))</f>
        <v/>
      </c>
      <c r="Q24" s="3">
        <f>IF(M24=0,"",IF(F24&gt;E24,1,0))</f>
        <v/>
      </c>
      <c r="R24" s="3">
        <f>IF(M24=0,"",IF(F24&lt;E24,1,0))</f>
        <v/>
      </c>
      <c r="S24" s="3">
        <f>IF(M24=0,"",IF(F24=E24,1,0))</f>
        <v/>
      </c>
      <c r="T24" s="2">
        <f>IF(M24=0,"",IF(E24&gt;F24,C24&amp;" def. "&amp;D24,IF(E24&lt;F24,D24&amp;" def. "&amp;C24,C24&amp;" tied "&amp;D24))&amp;" "&amp;TEXT(E24,"0.0")&amp;"–"&amp;TEXT(F24,"0.0"))</f>
        <v/>
      </c>
    </row>
    <row r="25">
      <c r="A25" s="2" t="n"/>
      <c r="B25" s="3" t="n"/>
      <c r="C25" s="2" t="n"/>
      <c r="D25" s="2" t="n"/>
      <c r="E25" s="3" t="n"/>
      <c r="F25" s="3" t="n"/>
      <c r="G25" s="2">
        <f>IF(OR(E25="",F25=""),"",IF(E25&gt;F25,C25,IF(E25&lt;F25,D25,"TIE")))</f>
        <v/>
      </c>
      <c r="H25" s="3">
        <f>IF(G25="", "", IF(G25=C25,Settings!$B$3,0))</f>
        <v/>
      </c>
      <c r="I25" s="3">
        <f>IF(G25="", "", IF(G25=D25,Settings!$B$3,0))</f>
        <v/>
      </c>
      <c r="J25" s="3">
        <f>IF(OR(E25="",H25=""),"",E25+H25)</f>
        <v/>
      </c>
      <c r="K25" s="3">
        <f>IF(OR(F25="",I25=""),"",F25+I25)</f>
        <v/>
      </c>
      <c r="L25" s="2" t="n"/>
      <c r="M25" s="3">
        <f>IF(AND(A25&lt;&gt;"",B25&lt;&gt;"",C25&lt;&gt;"",D25&lt;&gt;"",E25&lt;&gt;"",F25&lt;&gt;""),1,0)</f>
        <v/>
      </c>
      <c r="N25" s="3">
        <f>IF(M25=0,"",IF(E25&gt;F25,1,0))</f>
        <v/>
      </c>
      <c r="O25" s="3">
        <f>IF(M25=0,"",IF(E25&lt;F25,1,0))</f>
        <v/>
      </c>
      <c r="P25" s="3">
        <f>IF(M25=0,"",IF(E25=F25,1,0))</f>
        <v/>
      </c>
      <c r="Q25" s="3">
        <f>IF(M25=0,"",IF(F25&gt;E25,1,0))</f>
        <v/>
      </c>
      <c r="R25" s="3">
        <f>IF(M25=0,"",IF(F25&lt;E25,1,0))</f>
        <v/>
      </c>
      <c r="S25" s="3">
        <f>IF(M25=0,"",IF(F25=E25,1,0))</f>
        <v/>
      </c>
      <c r="T25" s="2">
        <f>IF(M25=0,"",IF(E25&gt;F25,C25&amp;" def. "&amp;D25,IF(E25&lt;F25,D25&amp;" def. "&amp;C25,C25&amp;" tied "&amp;D25))&amp;" "&amp;TEXT(E25,"0.0")&amp;"–"&amp;TEXT(F25,"0.0"))</f>
        <v/>
      </c>
    </row>
    <row r="26">
      <c r="A26" s="2" t="n"/>
      <c r="B26" s="3" t="n"/>
      <c r="C26" s="2" t="n"/>
      <c r="D26" s="2" t="n"/>
      <c r="E26" s="3" t="n"/>
      <c r="F26" s="3" t="n"/>
      <c r="G26" s="2">
        <f>IF(OR(E26="",F26=""),"",IF(E26&gt;F26,C26,IF(E26&lt;F26,D26,"TIE")))</f>
        <v/>
      </c>
      <c r="H26" s="3">
        <f>IF(G26="", "", IF(G26=C26,Settings!$B$3,0))</f>
        <v/>
      </c>
      <c r="I26" s="3">
        <f>IF(G26="", "", IF(G26=D26,Settings!$B$3,0))</f>
        <v/>
      </c>
      <c r="J26" s="3">
        <f>IF(OR(E26="",H26=""),"",E26+H26)</f>
        <v/>
      </c>
      <c r="K26" s="3">
        <f>IF(OR(F26="",I26=""),"",F26+I26)</f>
        <v/>
      </c>
      <c r="L26" s="2" t="n"/>
      <c r="M26" s="3">
        <f>IF(AND(A26&lt;&gt;"",B26&lt;&gt;"",C26&lt;&gt;"",D26&lt;&gt;"",E26&lt;&gt;"",F26&lt;&gt;""),1,0)</f>
        <v/>
      </c>
      <c r="N26" s="3">
        <f>IF(M26=0,"",IF(E26&gt;F26,1,0))</f>
        <v/>
      </c>
      <c r="O26" s="3">
        <f>IF(M26=0,"",IF(E26&lt;F26,1,0))</f>
        <v/>
      </c>
      <c r="P26" s="3">
        <f>IF(M26=0,"",IF(E26=F26,1,0))</f>
        <v/>
      </c>
      <c r="Q26" s="3">
        <f>IF(M26=0,"",IF(F26&gt;E26,1,0))</f>
        <v/>
      </c>
      <c r="R26" s="3">
        <f>IF(M26=0,"",IF(F26&lt;E26,1,0))</f>
        <v/>
      </c>
      <c r="S26" s="3">
        <f>IF(M26=0,"",IF(F26=E26,1,0))</f>
        <v/>
      </c>
      <c r="T26" s="2">
        <f>IF(M26=0,"",IF(E26&gt;F26,C26&amp;" def. "&amp;D26,IF(E26&lt;F26,D26&amp;" def. "&amp;C26,C26&amp;" tied "&amp;D26))&amp;" "&amp;TEXT(E26,"0.0")&amp;"–"&amp;TEXT(F26,"0.0"))</f>
        <v/>
      </c>
    </row>
    <row r="27">
      <c r="A27" s="2" t="n"/>
      <c r="B27" s="3" t="n"/>
      <c r="C27" s="2" t="n"/>
      <c r="D27" s="2" t="n"/>
      <c r="E27" s="3" t="n"/>
      <c r="F27" s="3" t="n"/>
      <c r="G27" s="2">
        <f>IF(OR(E27="",F27=""),"",IF(E27&gt;F27,C27,IF(E27&lt;F27,D27,"TIE")))</f>
        <v/>
      </c>
      <c r="H27" s="3">
        <f>IF(G27="", "", IF(G27=C27,Settings!$B$3,0))</f>
        <v/>
      </c>
      <c r="I27" s="3">
        <f>IF(G27="", "", IF(G27=D27,Settings!$B$3,0))</f>
        <v/>
      </c>
      <c r="J27" s="3">
        <f>IF(OR(E27="",H27=""),"",E27+H27)</f>
        <v/>
      </c>
      <c r="K27" s="3">
        <f>IF(OR(F27="",I27=""),"",F27+I27)</f>
        <v/>
      </c>
      <c r="L27" s="2" t="n"/>
      <c r="M27" s="3">
        <f>IF(AND(A27&lt;&gt;"",B27&lt;&gt;"",C27&lt;&gt;"",D27&lt;&gt;"",E27&lt;&gt;"",F27&lt;&gt;""),1,0)</f>
        <v/>
      </c>
      <c r="N27" s="3">
        <f>IF(M27=0,"",IF(E27&gt;F27,1,0))</f>
        <v/>
      </c>
      <c r="O27" s="3">
        <f>IF(M27=0,"",IF(E27&lt;F27,1,0))</f>
        <v/>
      </c>
      <c r="P27" s="3">
        <f>IF(M27=0,"",IF(E27=F27,1,0))</f>
        <v/>
      </c>
      <c r="Q27" s="3">
        <f>IF(M27=0,"",IF(F27&gt;E27,1,0))</f>
        <v/>
      </c>
      <c r="R27" s="3">
        <f>IF(M27=0,"",IF(F27&lt;E27,1,0))</f>
        <v/>
      </c>
      <c r="S27" s="3">
        <f>IF(M27=0,"",IF(F27=E27,1,0))</f>
        <v/>
      </c>
      <c r="T27" s="2">
        <f>IF(M27=0,"",IF(E27&gt;F27,C27&amp;" def. "&amp;D27,IF(E27&lt;F27,D27&amp;" def. "&amp;C27,C27&amp;" tied "&amp;D27))&amp;" "&amp;TEXT(E27,"0.0")&amp;"–"&amp;TEXT(F27,"0.0"))</f>
        <v/>
      </c>
    </row>
    <row r="28">
      <c r="A28" s="2" t="n"/>
      <c r="B28" s="3" t="n"/>
      <c r="C28" s="2" t="n"/>
      <c r="D28" s="2" t="n"/>
      <c r="E28" s="3" t="n"/>
      <c r="F28" s="3" t="n"/>
      <c r="G28" s="2">
        <f>IF(OR(E28="",F28=""),"",IF(E28&gt;F28,C28,IF(E28&lt;F28,D28,"TIE")))</f>
        <v/>
      </c>
      <c r="H28" s="3">
        <f>IF(G28="", "", IF(G28=C28,Settings!$B$3,0))</f>
        <v/>
      </c>
      <c r="I28" s="3">
        <f>IF(G28="", "", IF(G28=D28,Settings!$B$3,0))</f>
        <v/>
      </c>
      <c r="J28" s="3">
        <f>IF(OR(E28="",H28=""),"",E28+H28)</f>
        <v/>
      </c>
      <c r="K28" s="3">
        <f>IF(OR(F28="",I28=""),"",F28+I28)</f>
        <v/>
      </c>
      <c r="L28" s="2" t="n"/>
      <c r="M28" s="3">
        <f>IF(AND(A28&lt;&gt;"",B28&lt;&gt;"",C28&lt;&gt;"",D28&lt;&gt;"",E28&lt;&gt;"",F28&lt;&gt;""),1,0)</f>
        <v/>
      </c>
      <c r="N28" s="3">
        <f>IF(M28=0,"",IF(E28&gt;F28,1,0))</f>
        <v/>
      </c>
      <c r="O28" s="3">
        <f>IF(M28=0,"",IF(E28&lt;F28,1,0))</f>
        <v/>
      </c>
      <c r="P28" s="3">
        <f>IF(M28=0,"",IF(E28=F28,1,0))</f>
        <v/>
      </c>
      <c r="Q28" s="3">
        <f>IF(M28=0,"",IF(F28&gt;E28,1,0))</f>
        <v/>
      </c>
      <c r="R28" s="3">
        <f>IF(M28=0,"",IF(F28&lt;E28,1,0))</f>
        <v/>
      </c>
      <c r="S28" s="3">
        <f>IF(M28=0,"",IF(F28=E28,1,0))</f>
        <v/>
      </c>
      <c r="T28" s="2">
        <f>IF(M28=0,"",IF(E28&gt;F28,C28&amp;" def. "&amp;D28,IF(E28&lt;F28,D28&amp;" def. "&amp;C28,C28&amp;" tied "&amp;D28))&amp;" "&amp;TEXT(E28,"0.0")&amp;"–"&amp;TEXT(F28,"0.0"))</f>
        <v/>
      </c>
    </row>
    <row r="29">
      <c r="A29" s="2" t="n"/>
      <c r="B29" s="3" t="n"/>
      <c r="C29" s="2" t="n"/>
      <c r="D29" s="2" t="n"/>
      <c r="E29" s="3" t="n"/>
      <c r="F29" s="3" t="n"/>
      <c r="G29" s="2">
        <f>IF(OR(E29="",F29=""),"",IF(E29&gt;F29,C29,IF(E29&lt;F29,D29,"TIE")))</f>
        <v/>
      </c>
      <c r="H29" s="3">
        <f>IF(G29="", "", IF(G29=C29,Settings!$B$3,0))</f>
        <v/>
      </c>
      <c r="I29" s="3">
        <f>IF(G29="", "", IF(G29=D29,Settings!$B$3,0))</f>
        <v/>
      </c>
      <c r="J29" s="3">
        <f>IF(OR(E29="",H29=""),"",E29+H29)</f>
        <v/>
      </c>
      <c r="K29" s="3">
        <f>IF(OR(F29="",I29=""),"",F29+I29)</f>
        <v/>
      </c>
      <c r="L29" s="2" t="n"/>
      <c r="M29" s="3">
        <f>IF(AND(A29&lt;&gt;"",B29&lt;&gt;"",C29&lt;&gt;"",D29&lt;&gt;"",E29&lt;&gt;"",F29&lt;&gt;""),1,0)</f>
        <v/>
      </c>
      <c r="N29" s="3">
        <f>IF(M29=0,"",IF(E29&gt;F29,1,0))</f>
        <v/>
      </c>
      <c r="O29" s="3">
        <f>IF(M29=0,"",IF(E29&lt;F29,1,0))</f>
        <v/>
      </c>
      <c r="P29" s="3">
        <f>IF(M29=0,"",IF(E29=F29,1,0))</f>
        <v/>
      </c>
      <c r="Q29" s="3">
        <f>IF(M29=0,"",IF(F29&gt;E29,1,0))</f>
        <v/>
      </c>
      <c r="R29" s="3">
        <f>IF(M29=0,"",IF(F29&lt;E29,1,0))</f>
        <v/>
      </c>
      <c r="S29" s="3">
        <f>IF(M29=0,"",IF(F29=E29,1,0))</f>
        <v/>
      </c>
      <c r="T29" s="2">
        <f>IF(M29=0,"",IF(E29&gt;F29,C29&amp;" def. "&amp;D29,IF(E29&lt;F29,D29&amp;" def. "&amp;C29,C29&amp;" tied "&amp;D29))&amp;" "&amp;TEXT(E29,"0.0")&amp;"–"&amp;TEXT(F29,"0.0"))</f>
        <v/>
      </c>
    </row>
    <row r="30">
      <c r="A30" s="2" t="n"/>
      <c r="B30" s="3" t="n"/>
      <c r="C30" s="2" t="n"/>
      <c r="D30" s="2" t="n"/>
      <c r="E30" s="3" t="n"/>
      <c r="F30" s="3" t="n"/>
      <c r="G30" s="2">
        <f>IF(OR(E30="",F30=""),"",IF(E30&gt;F30,C30,IF(E30&lt;F30,D30,"TIE")))</f>
        <v/>
      </c>
      <c r="H30" s="3">
        <f>IF(G30="", "", IF(G30=C30,Settings!$B$3,0))</f>
        <v/>
      </c>
      <c r="I30" s="3">
        <f>IF(G30="", "", IF(G30=D30,Settings!$B$3,0))</f>
        <v/>
      </c>
      <c r="J30" s="3">
        <f>IF(OR(E30="",H30=""),"",E30+H30)</f>
        <v/>
      </c>
      <c r="K30" s="3">
        <f>IF(OR(F30="",I30=""),"",F30+I30)</f>
        <v/>
      </c>
      <c r="L30" s="2" t="n"/>
      <c r="M30" s="3">
        <f>IF(AND(A30&lt;&gt;"",B30&lt;&gt;"",C30&lt;&gt;"",D30&lt;&gt;"",E30&lt;&gt;"",F30&lt;&gt;""),1,0)</f>
        <v/>
      </c>
      <c r="N30" s="3">
        <f>IF(M30=0,"",IF(E30&gt;F30,1,0))</f>
        <v/>
      </c>
      <c r="O30" s="3">
        <f>IF(M30=0,"",IF(E30&lt;F30,1,0))</f>
        <v/>
      </c>
      <c r="P30" s="3">
        <f>IF(M30=0,"",IF(E30=F30,1,0))</f>
        <v/>
      </c>
      <c r="Q30" s="3">
        <f>IF(M30=0,"",IF(F30&gt;E30,1,0))</f>
        <v/>
      </c>
      <c r="R30" s="3">
        <f>IF(M30=0,"",IF(F30&lt;E30,1,0))</f>
        <v/>
      </c>
      <c r="S30" s="3">
        <f>IF(M30=0,"",IF(F30=E30,1,0))</f>
        <v/>
      </c>
      <c r="T30" s="2">
        <f>IF(M30=0,"",IF(E30&gt;F30,C30&amp;" def. "&amp;D30,IF(E30&lt;F30,D30&amp;" def. "&amp;C30,C30&amp;" tied "&amp;D30))&amp;" "&amp;TEXT(E30,"0.0")&amp;"–"&amp;TEXT(F30,"0.0"))</f>
        <v/>
      </c>
    </row>
    <row r="31">
      <c r="A31" s="2" t="n"/>
      <c r="B31" s="3" t="n"/>
      <c r="C31" s="2" t="n"/>
      <c r="D31" s="2" t="n"/>
      <c r="E31" s="3" t="n"/>
      <c r="F31" s="3" t="n"/>
      <c r="G31" s="2">
        <f>IF(OR(E31="",F31=""),"",IF(E31&gt;F31,C31,IF(E31&lt;F31,D31,"TIE")))</f>
        <v/>
      </c>
      <c r="H31" s="3">
        <f>IF(G31="", "", IF(G31=C31,Settings!$B$3,0))</f>
        <v/>
      </c>
      <c r="I31" s="3">
        <f>IF(G31="", "", IF(G31=D31,Settings!$B$3,0))</f>
        <v/>
      </c>
      <c r="J31" s="3">
        <f>IF(OR(E31="",H31=""),"",E31+H31)</f>
        <v/>
      </c>
      <c r="K31" s="3">
        <f>IF(OR(F31="",I31=""),"",F31+I31)</f>
        <v/>
      </c>
      <c r="L31" s="2" t="n"/>
      <c r="M31" s="3">
        <f>IF(AND(A31&lt;&gt;"",B31&lt;&gt;"",C31&lt;&gt;"",D31&lt;&gt;"",E31&lt;&gt;"",F31&lt;&gt;""),1,0)</f>
        <v/>
      </c>
      <c r="N31" s="3">
        <f>IF(M31=0,"",IF(E31&gt;F31,1,0))</f>
        <v/>
      </c>
      <c r="O31" s="3">
        <f>IF(M31=0,"",IF(E31&lt;F31,1,0))</f>
        <v/>
      </c>
      <c r="P31" s="3">
        <f>IF(M31=0,"",IF(E31=F31,1,0))</f>
        <v/>
      </c>
      <c r="Q31" s="3">
        <f>IF(M31=0,"",IF(F31&gt;E31,1,0))</f>
        <v/>
      </c>
      <c r="R31" s="3">
        <f>IF(M31=0,"",IF(F31&lt;E31,1,0))</f>
        <v/>
      </c>
      <c r="S31" s="3">
        <f>IF(M31=0,"",IF(F31=E31,1,0))</f>
        <v/>
      </c>
      <c r="T31" s="2">
        <f>IF(M31=0,"",IF(E31&gt;F31,C31&amp;" def. "&amp;D31,IF(E31&lt;F31,D31&amp;" def. "&amp;C31,C31&amp;" tied "&amp;D31))&amp;" "&amp;TEXT(E31,"0.0")&amp;"–"&amp;TEXT(F31,"0.0"))</f>
        <v/>
      </c>
    </row>
    <row r="32">
      <c r="A32" s="2" t="n"/>
      <c r="B32" s="3" t="n"/>
      <c r="C32" s="2" t="n"/>
      <c r="D32" s="2" t="n"/>
      <c r="E32" s="3" t="n"/>
      <c r="F32" s="3" t="n"/>
      <c r="G32" s="2">
        <f>IF(OR(E32="",F32=""),"",IF(E32&gt;F32,C32,IF(E32&lt;F32,D32,"TIE")))</f>
        <v/>
      </c>
      <c r="H32" s="3">
        <f>IF(G32="", "", IF(G32=C32,Settings!$B$3,0))</f>
        <v/>
      </c>
      <c r="I32" s="3">
        <f>IF(G32="", "", IF(G32=D32,Settings!$B$3,0))</f>
        <v/>
      </c>
      <c r="J32" s="3">
        <f>IF(OR(E32="",H32=""),"",E32+H32)</f>
        <v/>
      </c>
      <c r="K32" s="3">
        <f>IF(OR(F32="",I32=""),"",F32+I32)</f>
        <v/>
      </c>
      <c r="L32" s="2" t="n"/>
      <c r="M32" s="3">
        <f>IF(AND(A32&lt;&gt;"",B32&lt;&gt;"",C32&lt;&gt;"",D32&lt;&gt;"",E32&lt;&gt;"",F32&lt;&gt;""),1,0)</f>
        <v/>
      </c>
      <c r="N32" s="3">
        <f>IF(M32=0,"",IF(E32&gt;F32,1,0))</f>
        <v/>
      </c>
      <c r="O32" s="3">
        <f>IF(M32=0,"",IF(E32&lt;F32,1,0))</f>
        <v/>
      </c>
      <c r="P32" s="3">
        <f>IF(M32=0,"",IF(E32=F32,1,0))</f>
        <v/>
      </c>
      <c r="Q32" s="3">
        <f>IF(M32=0,"",IF(F32&gt;E32,1,0))</f>
        <v/>
      </c>
      <c r="R32" s="3">
        <f>IF(M32=0,"",IF(F32&lt;E32,1,0))</f>
        <v/>
      </c>
      <c r="S32" s="3">
        <f>IF(M32=0,"",IF(F32=E32,1,0))</f>
        <v/>
      </c>
      <c r="T32" s="2">
        <f>IF(M32=0,"",IF(E32&gt;F32,C32&amp;" def. "&amp;D32,IF(E32&lt;F32,D32&amp;" def. "&amp;C32,C32&amp;" tied "&amp;D32))&amp;" "&amp;TEXT(E32,"0.0")&amp;"–"&amp;TEXT(F32,"0.0"))</f>
        <v/>
      </c>
    </row>
    <row r="33">
      <c r="A33" s="2" t="n"/>
      <c r="B33" s="3" t="n"/>
      <c r="C33" s="2" t="n"/>
      <c r="D33" s="2" t="n"/>
      <c r="E33" s="3" t="n"/>
      <c r="F33" s="3" t="n"/>
      <c r="G33" s="2">
        <f>IF(OR(E33="",F33=""),"",IF(E33&gt;F33,C33,IF(E33&lt;F33,D33,"TIE")))</f>
        <v/>
      </c>
      <c r="H33" s="3">
        <f>IF(G33="", "", IF(G33=C33,Settings!$B$3,0))</f>
        <v/>
      </c>
      <c r="I33" s="3">
        <f>IF(G33="", "", IF(G33=D33,Settings!$B$3,0))</f>
        <v/>
      </c>
      <c r="J33" s="3">
        <f>IF(OR(E33="",H33=""),"",E33+H33)</f>
        <v/>
      </c>
      <c r="K33" s="3">
        <f>IF(OR(F33="",I33=""),"",F33+I33)</f>
        <v/>
      </c>
      <c r="L33" s="2" t="n"/>
      <c r="M33" s="3">
        <f>IF(AND(A33&lt;&gt;"",B33&lt;&gt;"",C33&lt;&gt;"",D33&lt;&gt;"",E33&lt;&gt;"",F33&lt;&gt;""),1,0)</f>
        <v/>
      </c>
      <c r="N33" s="3">
        <f>IF(M33=0,"",IF(E33&gt;F33,1,0))</f>
        <v/>
      </c>
      <c r="O33" s="3">
        <f>IF(M33=0,"",IF(E33&lt;F33,1,0))</f>
        <v/>
      </c>
      <c r="P33" s="3">
        <f>IF(M33=0,"",IF(E33=F33,1,0))</f>
        <v/>
      </c>
      <c r="Q33" s="3">
        <f>IF(M33=0,"",IF(F33&gt;E33,1,0))</f>
        <v/>
      </c>
      <c r="R33" s="3">
        <f>IF(M33=0,"",IF(F33&lt;E33,1,0))</f>
        <v/>
      </c>
      <c r="S33" s="3">
        <f>IF(M33=0,"",IF(F33=E33,1,0))</f>
        <v/>
      </c>
      <c r="T33" s="2">
        <f>IF(M33=0,"",IF(E33&gt;F33,C33&amp;" def. "&amp;D33,IF(E33&lt;F33,D33&amp;" def. "&amp;C33,C33&amp;" tied "&amp;D33))&amp;" "&amp;TEXT(E33,"0.0")&amp;"–"&amp;TEXT(F33,"0.0"))</f>
        <v/>
      </c>
    </row>
    <row r="34">
      <c r="A34" s="2" t="n"/>
      <c r="B34" s="3" t="n"/>
      <c r="C34" s="2" t="n"/>
      <c r="D34" s="2" t="n"/>
      <c r="E34" s="3" t="n"/>
      <c r="F34" s="3" t="n"/>
      <c r="G34" s="2">
        <f>IF(OR(E34="",F34=""),"",IF(E34&gt;F34,C34,IF(E34&lt;F34,D34,"TIE")))</f>
        <v/>
      </c>
      <c r="H34" s="3">
        <f>IF(G34="", "", IF(G34=C34,Settings!$B$3,0))</f>
        <v/>
      </c>
      <c r="I34" s="3">
        <f>IF(G34="", "", IF(G34=D34,Settings!$B$3,0))</f>
        <v/>
      </c>
      <c r="J34" s="3">
        <f>IF(OR(E34="",H34=""),"",E34+H34)</f>
        <v/>
      </c>
      <c r="K34" s="3">
        <f>IF(OR(F34="",I34=""),"",F34+I34)</f>
        <v/>
      </c>
      <c r="L34" s="2" t="n"/>
      <c r="M34" s="3">
        <f>IF(AND(A34&lt;&gt;"",B34&lt;&gt;"",C34&lt;&gt;"",D34&lt;&gt;"",E34&lt;&gt;"",F34&lt;&gt;""),1,0)</f>
        <v/>
      </c>
      <c r="N34" s="3">
        <f>IF(M34=0,"",IF(E34&gt;F34,1,0))</f>
        <v/>
      </c>
      <c r="O34" s="3">
        <f>IF(M34=0,"",IF(E34&lt;F34,1,0))</f>
        <v/>
      </c>
      <c r="P34" s="3">
        <f>IF(M34=0,"",IF(E34=F34,1,0))</f>
        <v/>
      </c>
      <c r="Q34" s="3">
        <f>IF(M34=0,"",IF(F34&gt;E34,1,0))</f>
        <v/>
      </c>
      <c r="R34" s="3">
        <f>IF(M34=0,"",IF(F34&lt;E34,1,0))</f>
        <v/>
      </c>
      <c r="S34" s="3">
        <f>IF(M34=0,"",IF(F34=E34,1,0))</f>
        <v/>
      </c>
      <c r="T34" s="2">
        <f>IF(M34=0,"",IF(E34&gt;F34,C34&amp;" def. "&amp;D34,IF(E34&lt;F34,D34&amp;" def. "&amp;C34,C34&amp;" tied "&amp;D34))&amp;" "&amp;TEXT(E34,"0.0")&amp;"–"&amp;TEXT(F34,"0.0"))</f>
        <v/>
      </c>
    </row>
    <row r="35">
      <c r="A35" s="2" t="n"/>
      <c r="B35" s="3" t="n"/>
      <c r="C35" s="2" t="n"/>
      <c r="D35" s="2" t="n"/>
      <c r="E35" s="3" t="n"/>
      <c r="F35" s="3" t="n"/>
      <c r="G35" s="2">
        <f>IF(OR(E35="",F35=""),"",IF(E35&gt;F35,C35,IF(E35&lt;F35,D35,"TIE")))</f>
        <v/>
      </c>
      <c r="H35" s="3">
        <f>IF(G35="", "", IF(G35=C35,Settings!$B$3,0))</f>
        <v/>
      </c>
      <c r="I35" s="3">
        <f>IF(G35="", "", IF(G35=D35,Settings!$B$3,0))</f>
        <v/>
      </c>
      <c r="J35" s="3">
        <f>IF(OR(E35="",H35=""),"",E35+H35)</f>
        <v/>
      </c>
      <c r="K35" s="3">
        <f>IF(OR(F35="",I35=""),"",F35+I35)</f>
        <v/>
      </c>
      <c r="L35" s="2" t="n"/>
      <c r="M35" s="3">
        <f>IF(AND(A35&lt;&gt;"",B35&lt;&gt;"",C35&lt;&gt;"",D35&lt;&gt;"",E35&lt;&gt;"",F35&lt;&gt;""),1,0)</f>
        <v/>
      </c>
      <c r="N35" s="3">
        <f>IF(M35=0,"",IF(E35&gt;F35,1,0))</f>
        <v/>
      </c>
      <c r="O35" s="3">
        <f>IF(M35=0,"",IF(E35&lt;F35,1,0))</f>
        <v/>
      </c>
      <c r="P35" s="3">
        <f>IF(M35=0,"",IF(E35=F35,1,0))</f>
        <v/>
      </c>
      <c r="Q35" s="3">
        <f>IF(M35=0,"",IF(F35&gt;E35,1,0))</f>
        <v/>
      </c>
      <c r="R35" s="3">
        <f>IF(M35=0,"",IF(F35&lt;E35,1,0))</f>
        <v/>
      </c>
      <c r="S35" s="3">
        <f>IF(M35=0,"",IF(F35=E35,1,0))</f>
        <v/>
      </c>
      <c r="T35" s="2">
        <f>IF(M35=0,"",IF(E35&gt;F35,C35&amp;" def. "&amp;D35,IF(E35&lt;F35,D35&amp;" def. "&amp;C35,C35&amp;" tied "&amp;D35))&amp;" "&amp;TEXT(E35,"0.0")&amp;"–"&amp;TEXT(F35,"0.0"))</f>
        <v/>
      </c>
    </row>
    <row r="36">
      <c r="A36" s="2" t="n"/>
      <c r="B36" s="3" t="n"/>
      <c r="C36" s="2" t="n"/>
      <c r="D36" s="2" t="n"/>
      <c r="E36" s="3" t="n"/>
      <c r="F36" s="3" t="n"/>
      <c r="G36" s="2">
        <f>IF(OR(E36="",F36=""),"",IF(E36&gt;F36,C36,IF(E36&lt;F36,D36,"TIE")))</f>
        <v/>
      </c>
      <c r="H36" s="3">
        <f>IF(G36="", "", IF(G36=C36,Settings!$B$3,0))</f>
        <v/>
      </c>
      <c r="I36" s="3">
        <f>IF(G36="", "", IF(G36=D36,Settings!$B$3,0))</f>
        <v/>
      </c>
      <c r="J36" s="3">
        <f>IF(OR(E36="",H36=""),"",E36+H36)</f>
        <v/>
      </c>
      <c r="K36" s="3">
        <f>IF(OR(F36="",I36=""),"",F36+I36)</f>
        <v/>
      </c>
      <c r="L36" s="2" t="n"/>
      <c r="M36" s="3">
        <f>IF(AND(A36&lt;&gt;"",B36&lt;&gt;"",C36&lt;&gt;"",D36&lt;&gt;"",E36&lt;&gt;"",F36&lt;&gt;""),1,0)</f>
        <v/>
      </c>
      <c r="N36" s="3">
        <f>IF(M36=0,"",IF(E36&gt;F36,1,0))</f>
        <v/>
      </c>
      <c r="O36" s="3">
        <f>IF(M36=0,"",IF(E36&lt;F36,1,0))</f>
        <v/>
      </c>
      <c r="P36" s="3">
        <f>IF(M36=0,"",IF(E36=F36,1,0))</f>
        <v/>
      </c>
      <c r="Q36" s="3">
        <f>IF(M36=0,"",IF(F36&gt;E36,1,0))</f>
        <v/>
      </c>
      <c r="R36" s="3">
        <f>IF(M36=0,"",IF(F36&lt;E36,1,0))</f>
        <v/>
      </c>
      <c r="S36" s="3">
        <f>IF(M36=0,"",IF(F36=E36,1,0))</f>
        <v/>
      </c>
      <c r="T36" s="2">
        <f>IF(M36=0,"",IF(E36&gt;F36,C36&amp;" def. "&amp;D36,IF(E36&lt;F36,D36&amp;" def. "&amp;C36,C36&amp;" tied "&amp;D36))&amp;" "&amp;TEXT(E36,"0.0")&amp;"–"&amp;TEXT(F36,"0.0"))</f>
        <v/>
      </c>
    </row>
    <row r="37">
      <c r="A37" s="2" t="n"/>
      <c r="B37" s="3" t="n"/>
      <c r="C37" s="2" t="n"/>
      <c r="D37" s="2" t="n"/>
      <c r="E37" s="3" t="n"/>
      <c r="F37" s="3" t="n"/>
      <c r="G37" s="2">
        <f>IF(OR(E37="",F37=""),"",IF(E37&gt;F37,C37,IF(E37&lt;F37,D37,"TIE")))</f>
        <v/>
      </c>
      <c r="H37" s="3">
        <f>IF(G37="", "", IF(G37=C37,Settings!$B$3,0))</f>
        <v/>
      </c>
      <c r="I37" s="3">
        <f>IF(G37="", "", IF(G37=D37,Settings!$B$3,0))</f>
        <v/>
      </c>
      <c r="J37" s="3">
        <f>IF(OR(E37="",H37=""),"",E37+H37)</f>
        <v/>
      </c>
      <c r="K37" s="3">
        <f>IF(OR(F37="",I37=""),"",F37+I37)</f>
        <v/>
      </c>
      <c r="L37" s="2" t="n"/>
      <c r="M37" s="3">
        <f>IF(AND(A37&lt;&gt;"",B37&lt;&gt;"",C37&lt;&gt;"",D37&lt;&gt;"",E37&lt;&gt;"",F37&lt;&gt;""),1,0)</f>
        <v/>
      </c>
      <c r="N37" s="3">
        <f>IF(M37=0,"",IF(E37&gt;F37,1,0))</f>
        <v/>
      </c>
      <c r="O37" s="3">
        <f>IF(M37=0,"",IF(E37&lt;F37,1,0))</f>
        <v/>
      </c>
      <c r="P37" s="3">
        <f>IF(M37=0,"",IF(E37=F37,1,0))</f>
        <v/>
      </c>
      <c r="Q37" s="3">
        <f>IF(M37=0,"",IF(F37&gt;E37,1,0))</f>
        <v/>
      </c>
      <c r="R37" s="3">
        <f>IF(M37=0,"",IF(F37&lt;E37,1,0))</f>
        <v/>
      </c>
      <c r="S37" s="3">
        <f>IF(M37=0,"",IF(F37=E37,1,0))</f>
        <v/>
      </c>
      <c r="T37" s="2">
        <f>IF(M37=0,"",IF(E37&gt;F37,C37&amp;" def. "&amp;D37,IF(E37&lt;F37,D37&amp;" def. "&amp;C37,C37&amp;" tied "&amp;D37))&amp;" "&amp;TEXT(E37,"0.0")&amp;"–"&amp;TEXT(F37,"0.0"))</f>
        <v/>
      </c>
    </row>
    <row r="38">
      <c r="A38" s="2" t="n"/>
      <c r="B38" s="3" t="n"/>
      <c r="C38" s="2" t="n"/>
      <c r="D38" s="2" t="n"/>
      <c r="E38" s="3" t="n"/>
      <c r="F38" s="3" t="n"/>
      <c r="G38" s="2">
        <f>IF(OR(E38="",F38=""),"",IF(E38&gt;F38,C38,IF(E38&lt;F38,D38,"TIE")))</f>
        <v/>
      </c>
      <c r="H38" s="3">
        <f>IF(G38="", "", IF(G38=C38,Settings!$B$3,0))</f>
        <v/>
      </c>
      <c r="I38" s="3">
        <f>IF(G38="", "", IF(G38=D38,Settings!$B$3,0))</f>
        <v/>
      </c>
      <c r="J38" s="3">
        <f>IF(OR(E38="",H38=""),"",E38+H38)</f>
        <v/>
      </c>
      <c r="K38" s="3">
        <f>IF(OR(F38="",I38=""),"",F38+I38)</f>
        <v/>
      </c>
      <c r="L38" s="2" t="n"/>
      <c r="M38" s="3">
        <f>IF(AND(A38&lt;&gt;"",B38&lt;&gt;"",C38&lt;&gt;"",D38&lt;&gt;"",E38&lt;&gt;"",F38&lt;&gt;""),1,0)</f>
        <v/>
      </c>
      <c r="N38" s="3">
        <f>IF(M38=0,"",IF(E38&gt;F38,1,0))</f>
        <v/>
      </c>
      <c r="O38" s="3">
        <f>IF(M38=0,"",IF(E38&lt;F38,1,0))</f>
        <v/>
      </c>
      <c r="P38" s="3">
        <f>IF(M38=0,"",IF(E38=F38,1,0))</f>
        <v/>
      </c>
      <c r="Q38" s="3">
        <f>IF(M38=0,"",IF(F38&gt;E38,1,0))</f>
        <v/>
      </c>
      <c r="R38" s="3">
        <f>IF(M38=0,"",IF(F38&lt;E38,1,0))</f>
        <v/>
      </c>
      <c r="S38" s="3">
        <f>IF(M38=0,"",IF(F38=E38,1,0))</f>
        <v/>
      </c>
      <c r="T38" s="2">
        <f>IF(M38=0,"",IF(E38&gt;F38,C38&amp;" def. "&amp;D38,IF(E38&lt;F38,D38&amp;" def. "&amp;C38,C38&amp;" tied "&amp;D38))&amp;" "&amp;TEXT(E38,"0.0")&amp;"–"&amp;TEXT(F38,"0.0"))</f>
        <v/>
      </c>
    </row>
    <row r="39">
      <c r="A39" s="2" t="n"/>
      <c r="B39" s="3" t="n"/>
      <c r="C39" s="2" t="n"/>
      <c r="D39" s="2" t="n"/>
      <c r="E39" s="3" t="n"/>
      <c r="F39" s="3" t="n"/>
      <c r="G39" s="2">
        <f>IF(OR(E39="",F39=""),"",IF(E39&gt;F39,C39,IF(E39&lt;F39,D39,"TIE")))</f>
        <v/>
      </c>
      <c r="H39" s="3">
        <f>IF(G39="", "", IF(G39=C39,Settings!$B$3,0))</f>
        <v/>
      </c>
      <c r="I39" s="3">
        <f>IF(G39="", "", IF(G39=D39,Settings!$B$3,0))</f>
        <v/>
      </c>
      <c r="J39" s="3">
        <f>IF(OR(E39="",H39=""),"",E39+H39)</f>
        <v/>
      </c>
      <c r="K39" s="3">
        <f>IF(OR(F39="",I39=""),"",F39+I39)</f>
        <v/>
      </c>
      <c r="L39" s="2" t="n"/>
      <c r="M39" s="3">
        <f>IF(AND(A39&lt;&gt;"",B39&lt;&gt;"",C39&lt;&gt;"",D39&lt;&gt;"",E39&lt;&gt;"",F39&lt;&gt;""),1,0)</f>
        <v/>
      </c>
      <c r="N39" s="3">
        <f>IF(M39=0,"",IF(E39&gt;F39,1,0))</f>
        <v/>
      </c>
      <c r="O39" s="3">
        <f>IF(M39=0,"",IF(E39&lt;F39,1,0))</f>
        <v/>
      </c>
      <c r="P39" s="3">
        <f>IF(M39=0,"",IF(E39=F39,1,0))</f>
        <v/>
      </c>
      <c r="Q39" s="3">
        <f>IF(M39=0,"",IF(F39&gt;E39,1,0))</f>
        <v/>
      </c>
      <c r="R39" s="3">
        <f>IF(M39=0,"",IF(F39&lt;E39,1,0))</f>
        <v/>
      </c>
      <c r="S39" s="3">
        <f>IF(M39=0,"",IF(F39=E39,1,0))</f>
        <v/>
      </c>
      <c r="T39" s="2">
        <f>IF(M39=0,"",IF(E39&gt;F39,C39&amp;" def. "&amp;D39,IF(E39&lt;F39,D39&amp;" def. "&amp;C39,C39&amp;" tied "&amp;D39))&amp;" "&amp;TEXT(E39,"0.0")&amp;"–"&amp;TEXT(F39,"0.0"))</f>
        <v/>
      </c>
    </row>
    <row r="40">
      <c r="A40" s="2" t="n"/>
      <c r="B40" s="3" t="n"/>
      <c r="C40" s="2" t="n"/>
      <c r="D40" s="2" t="n"/>
      <c r="E40" s="3" t="n"/>
      <c r="F40" s="3" t="n"/>
      <c r="G40" s="2">
        <f>IF(OR(E40="",F40=""),"",IF(E40&gt;F40,C40,IF(E40&lt;F40,D40,"TIE")))</f>
        <v/>
      </c>
      <c r="H40" s="3">
        <f>IF(G40="", "", IF(G40=C40,Settings!$B$3,0))</f>
        <v/>
      </c>
      <c r="I40" s="3">
        <f>IF(G40="", "", IF(G40=D40,Settings!$B$3,0))</f>
        <v/>
      </c>
      <c r="J40" s="3">
        <f>IF(OR(E40="",H40=""),"",E40+H40)</f>
        <v/>
      </c>
      <c r="K40" s="3">
        <f>IF(OR(F40="",I40=""),"",F40+I40)</f>
        <v/>
      </c>
      <c r="L40" s="2" t="n"/>
      <c r="M40" s="3">
        <f>IF(AND(A40&lt;&gt;"",B40&lt;&gt;"",C40&lt;&gt;"",D40&lt;&gt;"",E40&lt;&gt;"",F40&lt;&gt;""),1,0)</f>
        <v/>
      </c>
      <c r="N40" s="3">
        <f>IF(M40=0,"",IF(E40&gt;F40,1,0))</f>
        <v/>
      </c>
      <c r="O40" s="3">
        <f>IF(M40=0,"",IF(E40&lt;F40,1,0))</f>
        <v/>
      </c>
      <c r="P40" s="3">
        <f>IF(M40=0,"",IF(E40=F40,1,0))</f>
        <v/>
      </c>
      <c r="Q40" s="3">
        <f>IF(M40=0,"",IF(F40&gt;E40,1,0))</f>
        <v/>
      </c>
      <c r="R40" s="3">
        <f>IF(M40=0,"",IF(F40&lt;E40,1,0))</f>
        <v/>
      </c>
      <c r="S40" s="3">
        <f>IF(M40=0,"",IF(F40=E40,1,0))</f>
        <v/>
      </c>
      <c r="T40" s="2">
        <f>IF(M40=0,"",IF(E40&gt;F40,C40&amp;" def. "&amp;D40,IF(E40&lt;F40,D40&amp;" def. "&amp;C40,C40&amp;" tied "&amp;D40))&amp;" "&amp;TEXT(E40,"0.0")&amp;"–"&amp;TEXT(F40,"0.0"))</f>
        <v/>
      </c>
    </row>
    <row r="41">
      <c r="A41" s="2" t="n"/>
      <c r="B41" s="3" t="n"/>
      <c r="C41" s="2" t="n"/>
      <c r="D41" s="2" t="n"/>
      <c r="E41" s="3" t="n"/>
      <c r="F41" s="3" t="n"/>
      <c r="G41" s="2">
        <f>IF(OR(E41="",F41=""),"",IF(E41&gt;F41,C41,IF(E41&lt;F41,D41,"TIE")))</f>
        <v/>
      </c>
      <c r="H41" s="3">
        <f>IF(G41="", "", IF(G41=C41,Settings!$B$3,0))</f>
        <v/>
      </c>
      <c r="I41" s="3">
        <f>IF(G41="", "", IF(G41=D41,Settings!$B$3,0))</f>
        <v/>
      </c>
      <c r="J41" s="3">
        <f>IF(OR(E41="",H41=""),"",E41+H41)</f>
        <v/>
      </c>
      <c r="K41" s="3">
        <f>IF(OR(F41="",I41=""),"",F41+I41)</f>
        <v/>
      </c>
      <c r="L41" s="2" t="n"/>
      <c r="M41" s="3">
        <f>IF(AND(A41&lt;&gt;"",B41&lt;&gt;"",C41&lt;&gt;"",D41&lt;&gt;"",E41&lt;&gt;"",F41&lt;&gt;""),1,0)</f>
        <v/>
      </c>
      <c r="N41" s="3">
        <f>IF(M41=0,"",IF(E41&gt;F41,1,0))</f>
        <v/>
      </c>
      <c r="O41" s="3">
        <f>IF(M41=0,"",IF(E41&lt;F41,1,0))</f>
        <v/>
      </c>
      <c r="P41" s="3">
        <f>IF(M41=0,"",IF(E41=F41,1,0))</f>
        <v/>
      </c>
      <c r="Q41" s="3">
        <f>IF(M41=0,"",IF(F41&gt;E41,1,0))</f>
        <v/>
      </c>
      <c r="R41" s="3">
        <f>IF(M41=0,"",IF(F41&lt;E41,1,0))</f>
        <v/>
      </c>
      <c r="S41" s="3">
        <f>IF(M41=0,"",IF(F41=E41,1,0))</f>
        <v/>
      </c>
      <c r="T41" s="2">
        <f>IF(M41=0,"",IF(E41&gt;F41,C41&amp;" def. "&amp;D41,IF(E41&lt;F41,D41&amp;" def. "&amp;C41,C41&amp;" tied "&amp;D41))&amp;" "&amp;TEXT(E41,"0.0")&amp;"–"&amp;TEXT(F41,"0.0"))</f>
        <v/>
      </c>
    </row>
    <row r="42">
      <c r="A42" s="2" t="n"/>
      <c r="B42" s="3" t="n"/>
      <c r="C42" s="2" t="n"/>
      <c r="D42" s="2" t="n"/>
      <c r="E42" s="3" t="n"/>
      <c r="F42" s="3" t="n"/>
      <c r="G42" s="2">
        <f>IF(OR(E42="",F42=""),"",IF(E42&gt;F42,C42,IF(E42&lt;F42,D42,"TIE")))</f>
        <v/>
      </c>
      <c r="H42" s="3">
        <f>IF(G42="", "", IF(G42=C42,Settings!$B$3,0))</f>
        <v/>
      </c>
      <c r="I42" s="3">
        <f>IF(G42="", "", IF(G42=D42,Settings!$B$3,0))</f>
        <v/>
      </c>
      <c r="J42" s="3">
        <f>IF(OR(E42="",H42=""),"",E42+H42)</f>
        <v/>
      </c>
      <c r="K42" s="3">
        <f>IF(OR(F42="",I42=""),"",F42+I42)</f>
        <v/>
      </c>
      <c r="L42" s="2" t="n"/>
      <c r="M42" s="3">
        <f>IF(AND(A42&lt;&gt;"",B42&lt;&gt;"",C42&lt;&gt;"",D42&lt;&gt;"",E42&lt;&gt;"",F42&lt;&gt;""),1,0)</f>
        <v/>
      </c>
      <c r="N42" s="3">
        <f>IF(M42=0,"",IF(E42&gt;F42,1,0))</f>
        <v/>
      </c>
      <c r="O42" s="3">
        <f>IF(M42=0,"",IF(E42&lt;F42,1,0))</f>
        <v/>
      </c>
      <c r="P42" s="3">
        <f>IF(M42=0,"",IF(E42=F42,1,0))</f>
        <v/>
      </c>
      <c r="Q42" s="3">
        <f>IF(M42=0,"",IF(F42&gt;E42,1,0))</f>
        <v/>
      </c>
      <c r="R42" s="3">
        <f>IF(M42=0,"",IF(F42&lt;E42,1,0))</f>
        <v/>
      </c>
      <c r="S42" s="3">
        <f>IF(M42=0,"",IF(F42=E42,1,0))</f>
        <v/>
      </c>
      <c r="T42" s="2">
        <f>IF(M42=0,"",IF(E42&gt;F42,C42&amp;" def. "&amp;D42,IF(E42&lt;F42,D42&amp;" def. "&amp;C42,C42&amp;" tied "&amp;D42))&amp;" "&amp;TEXT(E42,"0.0")&amp;"–"&amp;TEXT(F42,"0.0"))</f>
        <v/>
      </c>
    </row>
    <row r="43">
      <c r="A43" s="2" t="n"/>
      <c r="B43" s="3" t="n"/>
      <c r="C43" s="2" t="n"/>
      <c r="D43" s="2" t="n"/>
      <c r="E43" s="3" t="n"/>
      <c r="F43" s="3" t="n"/>
      <c r="G43" s="2">
        <f>IF(OR(E43="",F43=""),"",IF(E43&gt;F43,C43,IF(E43&lt;F43,D43,"TIE")))</f>
        <v/>
      </c>
      <c r="H43" s="3">
        <f>IF(G43="", "", IF(G43=C43,Settings!$B$3,0))</f>
        <v/>
      </c>
      <c r="I43" s="3">
        <f>IF(G43="", "", IF(G43=D43,Settings!$B$3,0))</f>
        <v/>
      </c>
      <c r="J43" s="3">
        <f>IF(OR(E43="",H43=""),"",E43+H43)</f>
        <v/>
      </c>
      <c r="K43" s="3">
        <f>IF(OR(F43="",I43=""),"",F43+I43)</f>
        <v/>
      </c>
      <c r="L43" s="2" t="n"/>
      <c r="M43" s="3">
        <f>IF(AND(A43&lt;&gt;"",B43&lt;&gt;"",C43&lt;&gt;"",D43&lt;&gt;"",E43&lt;&gt;"",F43&lt;&gt;""),1,0)</f>
        <v/>
      </c>
      <c r="N43" s="3">
        <f>IF(M43=0,"",IF(E43&gt;F43,1,0))</f>
        <v/>
      </c>
      <c r="O43" s="3">
        <f>IF(M43=0,"",IF(E43&lt;F43,1,0))</f>
        <v/>
      </c>
      <c r="P43" s="3">
        <f>IF(M43=0,"",IF(E43=F43,1,0))</f>
        <v/>
      </c>
      <c r="Q43" s="3">
        <f>IF(M43=0,"",IF(F43&gt;E43,1,0))</f>
        <v/>
      </c>
      <c r="R43" s="3">
        <f>IF(M43=0,"",IF(F43&lt;E43,1,0))</f>
        <v/>
      </c>
      <c r="S43" s="3">
        <f>IF(M43=0,"",IF(F43=E43,1,0))</f>
        <v/>
      </c>
      <c r="T43" s="2">
        <f>IF(M43=0,"",IF(E43&gt;F43,C43&amp;" def. "&amp;D43,IF(E43&lt;F43,D43&amp;" def. "&amp;C43,C43&amp;" tied "&amp;D43))&amp;" "&amp;TEXT(E43,"0.0")&amp;"–"&amp;TEXT(F43,"0.0"))</f>
        <v/>
      </c>
    </row>
    <row r="44">
      <c r="A44" s="2" t="n"/>
      <c r="B44" s="3" t="n"/>
      <c r="C44" s="2" t="n"/>
      <c r="D44" s="2" t="n"/>
      <c r="E44" s="3" t="n"/>
      <c r="F44" s="3" t="n"/>
      <c r="G44" s="2">
        <f>IF(OR(E44="",F44=""),"",IF(E44&gt;F44,C44,IF(E44&lt;F44,D44,"TIE")))</f>
        <v/>
      </c>
      <c r="H44" s="3">
        <f>IF(G44="", "", IF(G44=C44,Settings!$B$3,0))</f>
        <v/>
      </c>
      <c r="I44" s="3">
        <f>IF(G44="", "", IF(G44=D44,Settings!$B$3,0))</f>
        <v/>
      </c>
      <c r="J44" s="3">
        <f>IF(OR(E44="",H44=""),"",E44+H44)</f>
        <v/>
      </c>
      <c r="K44" s="3">
        <f>IF(OR(F44="",I44=""),"",F44+I44)</f>
        <v/>
      </c>
      <c r="L44" s="2" t="n"/>
      <c r="M44" s="3">
        <f>IF(AND(A44&lt;&gt;"",B44&lt;&gt;"",C44&lt;&gt;"",D44&lt;&gt;"",E44&lt;&gt;"",F44&lt;&gt;""),1,0)</f>
        <v/>
      </c>
      <c r="N44" s="3">
        <f>IF(M44=0,"",IF(E44&gt;F44,1,0))</f>
        <v/>
      </c>
      <c r="O44" s="3">
        <f>IF(M44=0,"",IF(E44&lt;F44,1,0))</f>
        <v/>
      </c>
      <c r="P44" s="3">
        <f>IF(M44=0,"",IF(E44=F44,1,0))</f>
        <v/>
      </c>
      <c r="Q44" s="3">
        <f>IF(M44=0,"",IF(F44&gt;E44,1,0))</f>
        <v/>
      </c>
      <c r="R44" s="3">
        <f>IF(M44=0,"",IF(F44&lt;E44,1,0))</f>
        <v/>
      </c>
      <c r="S44" s="3">
        <f>IF(M44=0,"",IF(F44=E44,1,0))</f>
        <v/>
      </c>
      <c r="T44" s="2">
        <f>IF(M44=0,"",IF(E44&gt;F44,C44&amp;" def. "&amp;D44,IF(E44&lt;F44,D44&amp;" def. "&amp;C44,C44&amp;" tied "&amp;D44))&amp;" "&amp;TEXT(E44,"0.0")&amp;"–"&amp;TEXT(F44,"0.0"))</f>
        <v/>
      </c>
    </row>
    <row r="45">
      <c r="A45" s="2" t="n"/>
      <c r="B45" s="3" t="n"/>
      <c r="C45" s="2" t="n"/>
      <c r="D45" s="2" t="n"/>
      <c r="E45" s="3" t="n"/>
      <c r="F45" s="3" t="n"/>
      <c r="G45" s="2">
        <f>IF(OR(E45="",F45=""),"",IF(E45&gt;F45,C45,IF(E45&lt;F45,D45,"TIE")))</f>
        <v/>
      </c>
      <c r="H45" s="3">
        <f>IF(G45="", "", IF(G45=C45,Settings!$B$3,0))</f>
        <v/>
      </c>
      <c r="I45" s="3">
        <f>IF(G45="", "", IF(G45=D45,Settings!$B$3,0))</f>
        <v/>
      </c>
      <c r="J45" s="3">
        <f>IF(OR(E45="",H45=""),"",E45+H45)</f>
        <v/>
      </c>
      <c r="K45" s="3">
        <f>IF(OR(F45="",I45=""),"",F45+I45)</f>
        <v/>
      </c>
      <c r="L45" s="2" t="n"/>
      <c r="M45" s="3">
        <f>IF(AND(A45&lt;&gt;"",B45&lt;&gt;"",C45&lt;&gt;"",D45&lt;&gt;"",E45&lt;&gt;"",F45&lt;&gt;""),1,0)</f>
        <v/>
      </c>
      <c r="N45" s="3">
        <f>IF(M45=0,"",IF(E45&gt;F45,1,0))</f>
        <v/>
      </c>
      <c r="O45" s="3">
        <f>IF(M45=0,"",IF(E45&lt;F45,1,0))</f>
        <v/>
      </c>
      <c r="P45" s="3">
        <f>IF(M45=0,"",IF(E45=F45,1,0))</f>
        <v/>
      </c>
      <c r="Q45" s="3">
        <f>IF(M45=0,"",IF(F45&gt;E45,1,0))</f>
        <v/>
      </c>
      <c r="R45" s="3">
        <f>IF(M45=0,"",IF(F45&lt;E45,1,0))</f>
        <v/>
      </c>
      <c r="S45" s="3">
        <f>IF(M45=0,"",IF(F45=E45,1,0))</f>
        <v/>
      </c>
      <c r="T45" s="2">
        <f>IF(M45=0,"",IF(E45&gt;F45,C45&amp;" def. "&amp;D45,IF(E45&lt;F45,D45&amp;" def. "&amp;C45,C45&amp;" tied "&amp;D45))&amp;" "&amp;TEXT(E45,"0.0")&amp;"–"&amp;TEXT(F45,"0.0"))</f>
        <v/>
      </c>
    </row>
    <row r="46">
      <c r="A46" s="2" t="n"/>
      <c r="B46" s="3" t="n"/>
      <c r="C46" s="2" t="n"/>
      <c r="D46" s="2" t="n"/>
      <c r="E46" s="3" t="n"/>
      <c r="F46" s="3" t="n"/>
      <c r="G46" s="2">
        <f>IF(OR(E46="",F46=""),"",IF(E46&gt;F46,C46,IF(E46&lt;F46,D46,"TIE")))</f>
        <v/>
      </c>
      <c r="H46" s="3">
        <f>IF(G46="", "", IF(G46=C46,Settings!$B$3,0))</f>
        <v/>
      </c>
      <c r="I46" s="3">
        <f>IF(G46="", "", IF(G46=D46,Settings!$B$3,0))</f>
        <v/>
      </c>
      <c r="J46" s="3">
        <f>IF(OR(E46="",H46=""),"",E46+H46)</f>
        <v/>
      </c>
      <c r="K46" s="3">
        <f>IF(OR(F46="",I46=""),"",F46+I46)</f>
        <v/>
      </c>
      <c r="L46" s="2" t="n"/>
      <c r="M46" s="3">
        <f>IF(AND(A46&lt;&gt;"",B46&lt;&gt;"",C46&lt;&gt;"",D46&lt;&gt;"",E46&lt;&gt;"",F46&lt;&gt;""),1,0)</f>
        <v/>
      </c>
      <c r="N46" s="3">
        <f>IF(M46=0,"",IF(E46&gt;F46,1,0))</f>
        <v/>
      </c>
      <c r="O46" s="3">
        <f>IF(M46=0,"",IF(E46&lt;F46,1,0))</f>
        <v/>
      </c>
      <c r="P46" s="3">
        <f>IF(M46=0,"",IF(E46=F46,1,0))</f>
        <v/>
      </c>
      <c r="Q46" s="3">
        <f>IF(M46=0,"",IF(F46&gt;E46,1,0))</f>
        <v/>
      </c>
      <c r="R46" s="3">
        <f>IF(M46=0,"",IF(F46&lt;E46,1,0))</f>
        <v/>
      </c>
      <c r="S46" s="3">
        <f>IF(M46=0,"",IF(F46=E46,1,0))</f>
        <v/>
      </c>
      <c r="T46" s="2">
        <f>IF(M46=0,"",IF(E46&gt;F46,C46&amp;" def. "&amp;D46,IF(E46&lt;F46,D46&amp;" def. "&amp;C46,C46&amp;" tied "&amp;D46))&amp;" "&amp;TEXT(E46,"0.0")&amp;"–"&amp;TEXT(F46,"0.0"))</f>
        <v/>
      </c>
    </row>
    <row r="47">
      <c r="A47" s="2" t="n"/>
      <c r="B47" s="3" t="n"/>
      <c r="C47" s="2" t="n"/>
      <c r="D47" s="2" t="n"/>
      <c r="E47" s="3" t="n"/>
      <c r="F47" s="3" t="n"/>
      <c r="G47" s="2">
        <f>IF(OR(E47="",F47=""),"",IF(E47&gt;F47,C47,IF(E47&lt;F47,D47,"TIE")))</f>
        <v/>
      </c>
      <c r="H47" s="3">
        <f>IF(G47="", "", IF(G47=C47,Settings!$B$3,0))</f>
        <v/>
      </c>
      <c r="I47" s="3">
        <f>IF(G47="", "", IF(G47=D47,Settings!$B$3,0))</f>
        <v/>
      </c>
      <c r="J47" s="3">
        <f>IF(OR(E47="",H47=""),"",E47+H47)</f>
        <v/>
      </c>
      <c r="K47" s="3">
        <f>IF(OR(F47="",I47=""),"",F47+I47)</f>
        <v/>
      </c>
      <c r="L47" s="2" t="n"/>
      <c r="M47" s="3">
        <f>IF(AND(A47&lt;&gt;"",B47&lt;&gt;"",C47&lt;&gt;"",D47&lt;&gt;"",E47&lt;&gt;"",F47&lt;&gt;""),1,0)</f>
        <v/>
      </c>
      <c r="N47" s="3">
        <f>IF(M47=0,"",IF(E47&gt;F47,1,0))</f>
        <v/>
      </c>
      <c r="O47" s="3">
        <f>IF(M47=0,"",IF(E47&lt;F47,1,0))</f>
        <v/>
      </c>
      <c r="P47" s="3">
        <f>IF(M47=0,"",IF(E47=F47,1,0))</f>
        <v/>
      </c>
      <c r="Q47" s="3">
        <f>IF(M47=0,"",IF(F47&gt;E47,1,0))</f>
        <v/>
      </c>
      <c r="R47" s="3">
        <f>IF(M47=0,"",IF(F47&lt;E47,1,0))</f>
        <v/>
      </c>
      <c r="S47" s="3">
        <f>IF(M47=0,"",IF(F47=E47,1,0))</f>
        <v/>
      </c>
      <c r="T47" s="2">
        <f>IF(M47=0,"",IF(E47&gt;F47,C47&amp;" def. "&amp;D47,IF(E47&lt;F47,D47&amp;" def. "&amp;C47,C47&amp;" tied "&amp;D47))&amp;" "&amp;TEXT(E47,"0.0")&amp;"–"&amp;TEXT(F47,"0.0"))</f>
        <v/>
      </c>
    </row>
    <row r="48">
      <c r="A48" s="2" t="n"/>
      <c r="B48" s="3" t="n"/>
      <c r="C48" s="2" t="n"/>
      <c r="D48" s="2" t="n"/>
      <c r="E48" s="3" t="n"/>
      <c r="F48" s="3" t="n"/>
      <c r="G48" s="2">
        <f>IF(OR(E48="",F48=""),"",IF(E48&gt;F48,C48,IF(E48&lt;F48,D48,"TIE")))</f>
        <v/>
      </c>
      <c r="H48" s="3">
        <f>IF(G48="", "", IF(G48=C48,Settings!$B$3,0))</f>
        <v/>
      </c>
      <c r="I48" s="3">
        <f>IF(G48="", "", IF(G48=D48,Settings!$B$3,0))</f>
        <v/>
      </c>
      <c r="J48" s="3">
        <f>IF(OR(E48="",H48=""),"",E48+H48)</f>
        <v/>
      </c>
      <c r="K48" s="3">
        <f>IF(OR(F48="",I48=""),"",F48+I48)</f>
        <v/>
      </c>
      <c r="L48" s="2" t="n"/>
      <c r="M48" s="3">
        <f>IF(AND(A48&lt;&gt;"",B48&lt;&gt;"",C48&lt;&gt;"",D48&lt;&gt;"",E48&lt;&gt;"",F48&lt;&gt;""),1,0)</f>
        <v/>
      </c>
      <c r="N48" s="3">
        <f>IF(M48=0,"",IF(E48&gt;F48,1,0))</f>
        <v/>
      </c>
      <c r="O48" s="3">
        <f>IF(M48=0,"",IF(E48&lt;F48,1,0))</f>
        <v/>
      </c>
      <c r="P48" s="3">
        <f>IF(M48=0,"",IF(E48=F48,1,0))</f>
        <v/>
      </c>
      <c r="Q48" s="3">
        <f>IF(M48=0,"",IF(F48&gt;E48,1,0))</f>
        <v/>
      </c>
      <c r="R48" s="3">
        <f>IF(M48=0,"",IF(F48&lt;E48,1,0))</f>
        <v/>
      </c>
      <c r="S48" s="3">
        <f>IF(M48=0,"",IF(F48=E48,1,0))</f>
        <v/>
      </c>
      <c r="T48" s="2">
        <f>IF(M48=0,"",IF(E48&gt;F48,C48&amp;" def. "&amp;D48,IF(E48&lt;F48,D48&amp;" def. "&amp;C48,C48&amp;" tied "&amp;D48))&amp;" "&amp;TEXT(E48,"0.0")&amp;"–"&amp;TEXT(F48,"0.0"))</f>
        <v/>
      </c>
    </row>
    <row r="49">
      <c r="A49" s="2" t="n"/>
      <c r="B49" s="3" t="n"/>
      <c r="C49" s="2" t="n"/>
      <c r="D49" s="2" t="n"/>
      <c r="E49" s="3" t="n"/>
      <c r="F49" s="3" t="n"/>
      <c r="G49" s="2">
        <f>IF(OR(E49="",F49=""),"",IF(E49&gt;F49,C49,IF(E49&lt;F49,D49,"TIE")))</f>
        <v/>
      </c>
      <c r="H49" s="3">
        <f>IF(G49="", "", IF(G49=C49,Settings!$B$3,0))</f>
        <v/>
      </c>
      <c r="I49" s="3">
        <f>IF(G49="", "", IF(G49=D49,Settings!$B$3,0))</f>
        <v/>
      </c>
      <c r="J49" s="3">
        <f>IF(OR(E49="",H49=""),"",E49+H49)</f>
        <v/>
      </c>
      <c r="K49" s="3">
        <f>IF(OR(F49="",I49=""),"",F49+I49)</f>
        <v/>
      </c>
      <c r="L49" s="2" t="n"/>
      <c r="M49" s="3">
        <f>IF(AND(A49&lt;&gt;"",B49&lt;&gt;"",C49&lt;&gt;"",D49&lt;&gt;"",E49&lt;&gt;"",F49&lt;&gt;""),1,0)</f>
        <v/>
      </c>
      <c r="N49" s="3">
        <f>IF(M49=0,"",IF(E49&gt;F49,1,0))</f>
        <v/>
      </c>
      <c r="O49" s="3">
        <f>IF(M49=0,"",IF(E49&lt;F49,1,0))</f>
        <v/>
      </c>
      <c r="P49" s="3">
        <f>IF(M49=0,"",IF(E49=F49,1,0))</f>
        <v/>
      </c>
      <c r="Q49" s="3">
        <f>IF(M49=0,"",IF(F49&gt;E49,1,0))</f>
        <v/>
      </c>
      <c r="R49" s="3">
        <f>IF(M49=0,"",IF(F49&lt;E49,1,0))</f>
        <v/>
      </c>
      <c r="S49" s="3">
        <f>IF(M49=0,"",IF(F49=E49,1,0))</f>
        <v/>
      </c>
      <c r="T49" s="2">
        <f>IF(M49=0,"",IF(E49&gt;F49,C49&amp;" def. "&amp;D49,IF(E49&lt;F49,D49&amp;" def. "&amp;C49,C49&amp;" tied "&amp;D49))&amp;" "&amp;TEXT(E49,"0.0")&amp;"–"&amp;TEXT(F49,"0.0"))</f>
        <v/>
      </c>
    </row>
    <row r="50">
      <c r="A50" s="2" t="n"/>
      <c r="B50" s="3" t="n"/>
      <c r="C50" s="2" t="n"/>
      <c r="D50" s="2" t="n"/>
      <c r="E50" s="3" t="n"/>
      <c r="F50" s="3" t="n"/>
      <c r="G50" s="2">
        <f>IF(OR(E50="",F50=""),"",IF(E50&gt;F50,C50,IF(E50&lt;F50,D50,"TIE")))</f>
        <v/>
      </c>
      <c r="H50" s="3">
        <f>IF(G50="", "", IF(G50=C50,Settings!$B$3,0))</f>
        <v/>
      </c>
      <c r="I50" s="3">
        <f>IF(G50="", "", IF(G50=D50,Settings!$B$3,0))</f>
        <v/>
      </c>
      <c r="J50" s="3">
        <f>IF(OR(E50="",H50=""),"",E50+H50)</f>
        <v/>
      </c>
      <c r="K50" s="3">
        <f>IF(OR(F50="",I50=""),"",F50+I50)</f>
        <v/>
      </c>
      <c r="L50" s="2" t="n"/>
      <c r="M50" s="3">
        <f>IF(AND(A50&lt;&gt;"",B50&lt;&gt;"",C50&lt;&gt;"",D50&lt;&gt;"",E50&lt;&gt;"",F50&lt;&gt;""),1,0)</f>
        <v/>
      </c>
      <c r="N50" s="3">
        <f>IF(M50=0,"",IF(E50&gt;F50,1,0))</f>
        <v/>
      </c>
      <c r="O50" s="3">
        <f>IF(M50=0,"",IF(E50&lt;F50,1,0))</f>
        <v/>
      </c>
      <c r="P50" s="3">
        <f>IF(M50=0,"",IF(E50=F50,1,0))</f>
        <v/>
      </c>
      <c r="Q50" s="3">
        <f>IF(M50=0,"",IF(F50&gt;E50,1,0))</f>
        <v/>
      </c>
      <c r="R50" s="3">
        <f>IF(M50=0,"",IF(F50&lt;E50,1,0))</f>
        <v/>
      </c>
      <c r="S50" s="3">
        <f>IF(M50=0,"",IF(F50=E50,1,0))</f>
        <v/>
      </c>
      <c r="T50" s="2">
        <f>IF(M50=0,"",IF(E50&gt;F50,C50&amp;" def. "&amp;D50,IF(E50&lt;F50,D50&amp;" def. "&amp;C50,C50&amp;" tied "&amp;D50))&amp;" "&amp;TEXT(E50,"0.0")&amp;"–"&amp;TEXT(F50,"0.0"))</f>
        <v/>
      </c>
    </row>
    <row r="51">
      <c r="A51" s="2" t="n"/>
      <c r="B51" s="3" t="n"/>
      <c r="C51" s="2" t="n"/>
      <c r="D51" s="2" t="n"/>
      <c r="E51" s="3" t="n"/>
      <c r="F51" s="3" t="n"/>
      <c r="G51" s="2">
        <f>IF(OR(E51="",F51=""),"",IF(E51&gt;F51,C51,IF(E51&lt;F51,D51,"TIE")))</f>
        <v/>
      </c>
      <c r="H51" s="3">
        <f>IF(G51="", "", IF(G51=C51,Settings!$B$3,0))</f>
        <v/>
      </c>
      <c r="I51" s="3">
        <f>IF(G51="", "", IF(G51=D51,Settings!$B$3,0))</f>
        <v/>
      </c>
      <c r="J51" s="3">
        <f>IF(OR(E51="",H51=""),"",E51+H51)</f>
        <v/>
      </c>
      <c r="K51" s="3">
        <f>IF(OR(F51="",I51=""),"",F51+I51)</f>
        <v/>
      </c>
      <c r="L51" s="2" t="n"/>
      <c r="M51" s="3">
        <f>IF(AND(A51&lt;&gt;"",B51&lt;&gt;"",C51&lt;&gt;"",D51&lt;&gt;"",E51&lt;&gt;"",F51&lt;&gt;""),1,0)</f>
        <v/>
      </c>
      <c r="N51" s="3">
        <f>IF(M51=0,"",IF(E51&gt;F51,1,0))</f>
        <v/>
      </c>
      <c r="O51" s="3">
        <f>IF(M51=0,"",IF(E51&lt;F51,1,0))</f>
        <v/>
      </c>
      <c r="P51" s="3">
        <f>IF(M51=0,"",IF(E51=F51,1,0))</f>
        <v/>
      </c>
      <c r="Q51" s="3">
        <f>IF(M51=0,"",IF(F51&gt;E51,1,0))</f>
        <v/>
      </c>
      <c r="R51" s="3">
        <f>IF(M51=0,"",IF(F51&lt;E51,1,0))</f>
        <v/>
      </c>
      <c r="S51" s="3">
        <f>IF(M51=0,"",IF(F51=E51,1,0))</f>
        <v/>
      </c>
      <c r="T51" s="2">
        <f>IF(M51=0,"",IF(E51&gt;F51,C51&amp;" def. "&amp;D51,IF(E51&lt;F51,D51&amp;" def. "&amp;C51,C51&amp;" tied "&amp;D51))&amp;" "&amp;TEXT(E51,"0.0")&amp;"–"&amp;TEXT(F51,"0.0"))</f>
        <v/>
      </c>
    </row>
    <row r="52">
      <c r="A52" s="2" t="n"/>
      <c r="B52" s="3" t="n"/>
      <c r="C52" s="2" t="n"/>
      <c r="D52" s="2" t="n"/>
      <c r="E52" s="3" t="n"/>
      <c r="F52" s="3" t="n"/>
      <c r="G52" s="2">
        <f>IF(OR(E52="",F52=""),"",IF(E52&gt;F52,C52,IF(E52&lt;F52,D52,"TIE")))</f>
        <v/>
      </c>
      <c r="H52" s="3">
        <f>IF(G52="", "", IF(G52=C52,Settings!$B$3,0))</f>
        <v/>
      </c>
      <c r="I52" s="3">
        <f>IF(G52="", "", IF(G52=D52,Settings!$B$3,0))</f>
        <v/>
      </c>
      <c r="J52" s="3">
        <f>IF(OR(E52="",H52=""),"",E52+H52)</f>
        <v/>
      </c>
      <c r="K52" s="3">
        <f>IF(OR(F52="",I52=""),"",F52+I52)</f>
        <v/>
      </c>
      <c r="L52" s="2" t="n"/>
      <c r="M52" s="3">
        <f>IF(AND(A52&lt;&gt;"",B52&lt;&gt;"",C52&lt;&gt;"",D52&lt;&gt;"",E52&lt;&gt;"",F52&lt;&gt;""),1,0)</f>
        <v/>
      </c>
      <c r="N52" s="3">
        <f>IF(M52=0,"",IF(E52&gt;F52,1,0))</f>
        <v/>
      </c>
      <c r="O52" s="3">
        <f>IF(M52=0,"",IF(E52&lt;F52,1,0))</f>
        <v/>
      </c>
      <c r="P52" s="3">
        <f>IF(M52=0,"",IF(E52=F52,1,0))</f>
        <v/>
      </c>
      <c r="Q52" s="3">
        <f>IF(M52=0,"",IF(F52&gt;E52,1,0))</f>
        <v/>
      </c>
      <c r="R52" s="3">
        <f>IF(M52=0,"",IF(F52&lt;E52,1,0))</f>
        <v/>
      </c>
      <c r="S52" s="3">
        <f>IF(M52=0,"",IF(F52=E52,1,0))</f>
        <v/>
      </c>
      <c r="T52" s="2">
        <f>IF(M52=0,"",IF(E52&gt;F52,C52&amp;" def. "&amp;D52,IF(E52&lt;F52,D52&amp;" def. "&amp;C52,C52&amp;" tied "&amp;D52))&amp;" "&amp;TEXT(E52,"0.0")&amp;"–"&amp;TEXT(F52,"0.0"))</f>
        <v/>
      </c>
    </row>
    <row r="53">
      <c r="A53" s="2" t="n"/>
      <c r="B53" s="3" t="n"/>
      <c r="C53" s="2" t="n"/>
      <c r="D53" s="2" t="n"/>
      <c r="E53" s="3" t="n"/>
      <c r="F53" s="3" t="n"/>
      <c r="G53" s="2">
        <f>IF(OR(E53="",F53=""),"",IF(E53&gt;F53,C53,IF(E53&lt;F53,D53,"TIE")))</f>
        <v/>
      </c>
      <c r="H53" s="3">
        <f>IF(G53="", "", IF(G53=C53,Settings!$B$3,0))</f>
        <v/>
      </c>
      <c r="I53" s="3">
        <f>IF(G53="", "", IF(G53=D53,Settings!$B$3,0))</f>
        <v/>
      </c>
      <c r="J53" s="3">
        <f>IF(OR(E53="",H53=""),"",E53+H53)</f>
        <v/>
      </c>
      <c r="K53" s="3">
        <f>IF(OR(F53="",I53=""),"",F53+I53)</f>
        <v/>
      </c>
      <c r="L53" s="2" t="n"/>
      <c r="M53" s="3">
        <f>IF(AND(A53&lt;&gt;"",B53&lt;&gt;"",C53&lt;&gt;"",D53&lt;&gt;"",E53&lt;&gt;"",F53&lt;&gt;""),1,0)</f>
        <v/>
      </c>
      <c r="N53" s="3">
        <f>IF(M53=0,"",IF(E53&gt;F53,1,0))</f>
        <v/>
      </c>
      <c r="O53" s="3">
        <f>IF(M53=0,"",IF(E53&lt;F53,1,0))</f>
        <v/>
      </c>
      <c r="P53" s="3">
        <f>IF(M53=0,"",IF(E53=F53,1,0))</f>
        <v/>
      </c>
      <c r="Q53" s="3">
        <f>IF(M53=0,"",IF(F53&gt;E53,1,0))</f>
        <v/>
      </c>
      <c r="R53" s="3">
        <f>IF(M53=0,"",IF(F53&lt;E53,1,0))</f>
        <v/>
      </c>
      <c r="S53" s="3">
        <f>IF(M53=0,"",IF(F53=E53,1,0))</f>
        <v/>
      </c>
      <c r="T53" s="2">
        <f>IF(M53=0,"",IF(E53&gt;F53,C53&amp;" def. "&amp;D53,IF(E53&lt;F53,D53&amp;" def. "&amp;C53,C53&amp;" tied "&amp;D53))&amp;" "&amp;TEXT(E53,"0.0")&amp;"–"&amp;TEXT(F53,"0.0"))</f>
        <v/>
      </c>
    </row>
    <row r="54">
      <c r="A54" s="2" t="n"/>
      <c r="B54" s="3" t="n"/>
      <c r="C54" s="2" t="n"/>
      <c r="D54" s="2" t="n"/>
      <c r="E54" s="3" t="n"/>
      <c r="F54" s="3" t="n"/>
      <c r="G54" s="2">
        <f>IF(OR(E54="",F54=""),"",IF(E54&gt;F54,C54,IF(E54&lt;F54,D54,"TIE")))</f>
        <v/>
      </c>
      <c r="H54" s="3">
        <f>IF(G54="", "", IF(G54=C54,Settings!$B$3,0))</f>
        <v/>
      </c>
      <c r="I54" s="3">
        <f>IF(G54="", "", IF(G54=D54,Settings!$B$3,0))</f>
        <v/>
      </c>
      <c r="J54" s="3">
        <f>IF(OR(E54="",H54=""),"",E54+H54)</f>
        <v/>
      </c>
      <c r="K54" s="3">
        <f>IF(OR(F54="",I54=""),"",F54+I54)</f>
        <v/>
      </c>
      <c r="L54" s="2" t="n"/>
      <c r="M54" s="3">
        <f>IF(AND(A54&lt;&gt;"",B54&lt;&gt;"",C54&lt;&gt;"",D54&lt;&gt;"",E54&lt;&gt;"",F54&lt;&gt;""),1,0)</f>
        <v/>
      </c>
      <c r="N54" s="3">
        <f>IF(M54=0,"",IF(E54&gt;F54,1,0))</f>
        <v/>
      </c>
      <c r="O54" s="3">
        <f>IF(M54=0,"",IF(E54&lt;F54,1,0))</f>
        <v/>
      </c>
      <c r="P54" s="3">
        <f>IF(M54=0,"",IF(E54=F54,1,0))</f>
        <v/>
      </c>
      <c r="Q54" s="3">
        <f>IF(M54=0,"",IF(F54&gt;E54,1,0))</f>
        <v/>
      </c>
      <c r="R54" s="3">
        <f>IF(M54=0,"",IF(F54&lt;E54,1,0))</f>
        <v/>
      </c>
      <c r="S54" s="3">
        <f>IF(M54=0,"",IF(F54=E54,1,0))</f>
        <v/>
      </c>
      <c r="T54" s="2">
        <f>IF(M54=0,"",IF(E54&gt;F54,C54&amp;" def. "&amp;D54,IF(E54&lt;F54,D54&amp;" def. "&amp;C54,C54&amp;" tied "&amp;D54))&amp;" "&amp;TEXT(E54,"0.0")&amp;"–"&amp;TEXT(F54,"0.0"))</f>
        <v/>
      </c>
    </row>
    <row r="55">
      <c r="A55" s="2" t="n"/>
      <c r="B55" s="3" t="n"/>
      <c r="C55" s="2" t="n"/>
      <c r="D55" s="2" t="n"/>
      <c r="E55" s="3" t="n"/>
      <c r="F55" s="3" t="n"/>
      <c r="G55" s="2">
        <f>IF(OR(E55="",F55=""),"",IF(E55&gt;F55,C55,IF(E55&lt;F55,D55,"TIE")))</f>
        <v/>
      </c>
      <c r="H55" s="3">
        <f>IF(G55="", "", IF(G55=C55,Settings!$B$3,0))</f>
        <v/>
      </c>
      <c r="I55" s="3">
        <f>IF(G55="", "", IF(G55=D55,Settings!$B$3,0))</f>
        <v/>
      </c>
      <c r="J55" s="3">
        <f>IF(OR(E55="",H55=""),"",E55+H55)</f>
        <v/>
      </c>
      <c r="K55" s="3">
        <f>IF(OR(F55="",I55=""),"",F55+I55)</f>
        <v/>
      </c>
      <c r="L55" s="2" t="n"/>
      <c r="M55" s="3">
        <f>IF(AND(A55&lt;&gt;"",B55&lt;&gt;"",C55&lt;&gt;"",D55&lt;&gt;"",E55&lt;&gt;"",F55&lt;&gt;""),1,0)</f>
        <v/>
      </c>
      <c r="N55" s="3">
        <f>IF(M55=0,"",IF(E55&gt;F55,1,0))</f>
        <v/>
      </c>
      <c r="O55" s="3">
        <f>IF(M55=0,"",IF(E55&lt;F55,1,0))</f>
        <v/>
      </c>
      <c r="P55" s="3">
        <f>IF(M55=0,"",IF(E55=F55,1,0))</f>
        <v/>
      </c>
      <c r="Q55" s="3">
        <f>IF(M55=0,"",IF(F55&gt;E55,1,0))</f>
        <v/>
      </c>
      <c r="R55" s="3">
        <f>IF(M55=0,"",IF(F55&lt;E55,1,0))</f>
        <v/>
      </c>
      <c r="S55" s="3">
        <f>IF(M55=0,"",IF(F55=E55,1,0))</f>
        <v/>
      </c>
      <c r="T55" s="2">
        <f>IF(M55=0,"",IF(E55&gt;F55,C55&amp;" def. "&amp;D55,IF(E55&lt;F55,D55&amp;" def. "&amp;C55,C55&amp;" tied "&amp;D55))&amp;" "&amp;TEXT(E55,"0.0")&amp;"–"&amp;TEXT(F55,"0.0"))</f>
        <v/>
      </c>
    </row>
    <row r="56">
      <c r="A56" s="2" t="n"/>
      <c r="B56" s="3" t="n"/>
      <c r="C56" s="2" t="n"/>
      <c r="D56" s="2" t="n"/>
      <c r="E56" s="3" t="n"/>
      <c r="F56" s="3" t="n"/>
      <c r="G56" s="2">
        <f>IF(OR(E56="",F56=""),"",IF(E56&gt;F56,C56,IF(E56&lt;F56,D56,"TIE")))</f>
        <v/>
      </c>
      <c r="H56" s="3">
        <f>IF(G56="", "", IF(G56=C56,Settings!$B$3,0))</f>
        <v/>
      </c>
      <c r="I56" s="3">
        <f>IF(G56="", "", IF(G56=D56,Settings!$B$3,0))</f>
        <v/>
      </c>
      <c r="J56" s="3">
        <f>IF(OR(E56="",H56=""),"",E56+H56)</f>
        <v/>
      </c>
      <c r="K56" s="3">
        <f>IF(OR(F56="",I56=""),"",F56+I56)</f>
        <v/>
      </c>
      <c r="L56" s="2" t="n"/>
      <c r="M56" s="3">
        <f>IF(AND(A56&lt;&gt;"",B56&lt;&gt;"",C56&lt;&gt;"",D56&lt;&gt;"",E56&lt;&gt;"",F56&lt;&gt;""),1,0)</f>
        <v/>
      </c>
      <c r="N56" s="3">
        <f>IF(M56=0,"",IF(E56&gt;F56,1,0))</f>
        <v/>
      </c>
      <c r="O56" s="3">
        <f>IF(M56=0,"",IF(E56&lt;F56,1,0))</f>
        <v/>
      </c>
      <c r="P56" s="3">
        <f>IF(M56=0,"",IF(E56=F56,1,0))</f>
        <v/>
      </c>
      <c r="Q56" s="3">
        <f>IF(M56=0,"",IF(F56&gt;E56,1,0))</f>
        <v/>
      </c>
      <c r="R56" s="3">
        <f>IF(M56=0,"",IF(F56&lt;E56,1,0))</f>
        <v/>
      </c>
      <c r="S56" s="3">
        <f>IF(M56=0,"",IF(F56=E56,1,0))</f>
        <v/>
      </c>
      <c r="T56" s="2">
        <f>IF(M56=0,"",IF(E56&gt;F56,C56&amp;" def. "&amp;D56,IF(E56&lt;F56,D56&amp;" def. "&amp;C56,C56&amp;" tied "&amp;D56))&amp;" "&amp;TEXT(E56,"0.0")&amp;"–"&amp;TEXT(F56,"0.0"))</f>
        <v/>
      </c>
    </row>
    <row r="57">
      <c r="A57" s="2" t="n"/>
      <c r="B57" s="3" t="n"/>
      <c r="C57" s="2" t="n"/>
      <c r="D57" s="2" t="n"/>
      <c r="E57" s="3" t="n"/>
      <c r="F57" s="3" t="n"/>
      <c r="G57" s="2">
        <f>IF(OR(E57="",F57=""),"",IF(E57&gt;F57,C57,IF(E57&lt;F57,D57,"TIE")))</f>
        <v/>
      </c>
      <c r="H57" s="3">
        <f>IF(G57="", "", IF(G57=C57,Settings!$B$3,0))</f>
        <v/>
      </c>
      <c r="I57" s="3">
        <f>IF(G57="", "", IF(G57=D57,Settings!$B$3,0))</f>
        <v/>
      </c>
      <c r="J57" s="3">
        <f>IF(OR(E57="",H57=""),"",E57+H57)</f>
        <v/>
      </c>
      <c r="K57" s="3">
        <f>IF(OR(F57="",I57=""),"",F57+I57)</f>
        <v/>
      </c>
      <c r="L57" s="2" t="n"/>
      <c r="M57" s="3">
        <f>IF(AND(A57&lt;&gt;"",B57&lt;&gt;"",C57&lt;&gt;"",D57&lt;&gt;"",E57&lt;&gt;"",F57&lt;&gt;""),1,0)</f>
        <v/>
      </c>
      <c r="N57" s="3">
        <f>IF(M57=0,"",IF(E57&gt;F57,1,0))</f>
        <v/>
      </c>
      <c r="O57" s="3">
        <f>IF(M57=0,"",IF(E57&lt;F57,1,0))</f>
        <v/>
      </c>
      <c r="P57" s="3">
        <f>IF(M57=0,"",IF(E57=F57,1,0))</f>
        <v/>
      </c>
      <c r="Q57" s="3">
        <f>IF(M57=0,"",IF(F57&gt;E57,1,0))</f>
        <v/>
      </c>
      <c r="R57" s="3">
        <f>IF(M57=0,"",IF(F57&lt;E57,1,0))</f>
        <v/>
      </c>
      <c r="S57" s="3">
        <f>IF(M57=0,"",IF(F57=E57,1,0))</f>
        <v/>
      </c>
      <c r="T57" s="2">
        <f>IF(M57=0,"",IF(E57&gt;F57,C57&amp;" def. "&amp;D57,IF(E57&lt;F57,D57&amp;" def. "&amp;C57,C57&amp;" tied "&amp;D57))&amp;" "&amp;TEXT(E57,"0.0")&amp;"–"&amp;TEXT(F57,"0.0"))</f>
        <v/>
      </c>
    </row>
    <row r="58">
      <c r="A58" s="2" t="n"/>
      <c r="B58" s="3" t="n"/>
      <c r="C58" s="2" t="n"/>
      <c r="D58" s="2" t="n"/>
      <c r="E58" s="3" t="n"/>
      <c r="F58" s="3" t="n"/>
      <c r="G58" s="2">
        <f>IF(OR(E58="",F58=""),"",IF(E58&gt;F58,C58,IF(E58&lt;F58,D58,"TIE")))</f>
        <v/>
      </c>
      <c r="H58" s="3">
        <f>IF(G58="", "", IF(G58=C58,Settings!$B$3,0))</f>
        <v/>
      </c>
      <c r="I58" s="3">
        <f>IF(G58="", "", IF(G58=D58,Settings!$B$3,0))</f>
        <v/>
      </c>
      <c r="J58" s="3">
        <f>IF(OR(E58="",H58=""),"",E58+H58)</f>
        <v/>
      </c>
      <c r="K58" s="3">
        <f>IF(OR(F58="",I58=""),"",F58+I58)</f>
        <v/>
      </c>
      <c r="L58" s="2" t="n"/>
      <c r="M58" s="3">
        <f>IF(AND(A58&lt;&gt;"",B58&lt;&gt;"",C58&lt;&gt;"",D58&lt;&gt;"",E58&lt;&gt;"",F58&lt;&gt;""),1,0)</f>
        <v/>
      </c>
      <c r="N58" s="3">
        <f>IF(M58=0,"",IF(E58&gt;F58,1,0))</f>
        <v/>
      </c>
      <c r="O58" s="3">
        <f>IF(M58=0,"",IF(E58&lt;F58,1,0))</f>
        <v/>
      </c>
      <c r="P58" s="3">
        <f>IF(M58=0,"",IF(E58=F58,1,0))</f>
        <v/>
      </c>
      <c r="Q58" s="3">
        <f>IF(M58=0,"",IF(F58&gt;E58,1,0))</f>
        <v/>
      </c>
      <c r="R58" s="3">
        <f>IF(M58=0,"",IF(F58&lt;E58,1,0))</f>
        <v/>
      </c>
      <c r="S58" s="3">
        <f>IF(M58=0,"",IF(F58=E58,1,0))</f>
        <v/>
      </c>
      <c r="T58" s="2">
        <f>IF(M58=0,"",IF(E58&gt;F58,C58&amp;" def. "&amp;D58,IF(E58&lt;F58,D58&amp;" def. "&amp;C58,C58&amp;" tied "&amp;D58))&amp;" "&amp;TEXT(E58,"0.0")&amp;"–"&amp;TEXT(F58,"0.0"))</f>
        <v/>
      </c>
    </row>
    <row r="59">
      <c r="A59" s="2" t="n"/>
      <c r="B59" s="3" t="n"/>
      <c r="C59" s="2" t="n"/>
      <c r="D59" s="2" t="n"/>
      <c r="E59" s="3" t="n"/>
      <c r="F59" s="3" t="n"/>
      <c r="G59" s="2">
        <f>IF(OR(E59="",F59=""),"",IF(E59&gt;F59,C59,IF(E59&lt;F59,D59,"TIE")))</f>
        <v/>
      </c>
      <c r="H59" s="3">
        <f>IF(G59="", "", IF(G59=C59,Settings!$B$3,0))</f>
        <v/>
      </c>
      <c r="I59" s="3">
        <f>IF(G59="", "", IF(G59=D59,Settings!$B$3,0))</f>
        <v/>
      </c>
      <c r="J59" s="3">
        <f>IF(OR(E59="",H59=""),"",E59+H59)</f>
        <v/>
      </c>
      <c r="K59" s="3">
        <f>IF(OR(F59="",I59=""),"",F59+I59)</f>
        <v/>
      </c>
      <c r="L59" s="2" t="n"/>
      <c r="M59" s="3">
        <f>IF(AND(A59&lt;&gt;"",B59&lt;&gt;"",C59&lt;&gt;"",D59&lt;&gt;"",E59&lt;&gt;"",F59&lt;&gt;""),1,0)</f>
        <v/>
      </c>
      <c r="N59" s="3">
        <f>IF(M59=0,"",IF(E59&gt;F59,1,0))</f>
        <v/>
      </c>
      <c r="O59" s="3">
        <f>IF(M59=0,"",IF(E59&lt;F59,1,0))</f>
        <v/>
      </c>
      <c r="P59" s="3">
        <f>IF(M59=0,"",IF(E59=F59,1,0))</f>
        <v/>
      </c>
      <c r="Q59" s="3">
        <f>IF(M59=0,"",IF(F59&gt;E59,1,0))</f>
        <v/>
      </c>
      <c r="R59" s="3">
        <f>IF(M59=0,"",IF(F59&lt;E59,1,0))</f>
        <v/>
      </c>
      <c r="S59" s="3">
        <f>IF(M59=0,"",IF(F59=E59,1,0))</f>
        <v/>
      </c>
      <c r="T59" s="2">
        <f>IF(M59=0,"",IF(E59&gt;F59,C59&amp;" def. "&amp;D59,IF(E59&lt;F59,D59&amp;" def. "&amp;C59,C59&amp;" tied "&amp;D59))&amp;" "&amp;TEXT(E59,"0.0")&amp;"–"&amp;TEXT(F59,"0.0"))</f>
        <v/>
      </c>
    </row>
    <row r="60">
      <c r="A60" s="2" t="n"/>
      <c r="B60" s="3" t="n"/>
      <c r="C60" s="2" t="n"/>
      <c r="D60" s="2" t="n"/>
      <c r="E60" s="3" t="n"/>
      <c r="F60" s="3" t="n"/>
      <c r="G60" s="2">
        <f>IF(OR(E60="",F60=""),"",IF(E60&gt;F60,C60,IF(E60&lt;F60,D60,"TIE")))</f>
        <v/>
      </c>
      <c r="H60" s="3">
        <f>IF(G60="", "", IF(G60=C60,Settings!$B$3,0))</f>
        <v/>
      </c>
      <c r="I60" s="3">
        <f>IF(G60="", "", IF(G60=D60,Settings!$B$3,0))</f>
        <v/>
      </c>
      <c r="J60" s="3">
        <f>IF(OR(E60="",H60=""),"",E60+H60)</f>
        <v/>
      </c>
      <c r="K60" s="3">
        <f>IF(OR(F60="",I60=""),"",F60+I60)</f>
        <v/>
      </c>
      <c r="L60" s="2" t="n"/>
      <c r="M60" s="3">
        <f>IF(AND(A60&lt;&gt;"",B60&lt;&gt;"",C60&lt;&gt;"",D60&lt;&gt;"",E60&lt;&gt;"",F60&lt;&gt;""),1,0)</f>
        <v/>
      </c>
      <c r="N60" s="3">
        <f>IF(M60=0,"",IF(E60&gt;F60,1,0))</f>
        <v/>
      </c>
      <c r="O60" s="3">
        <f>IF(M60=0,"",IF(E60&lt;F60,1,0))</f>
        <v/>
      </c>
      <c r="P60" s="3">
        <f>IF(M60=0,"",IF(E60=F60,1,0))</f>
        <v/>
      </c>
      <c r="Q60" s="3">
        <f>IF(M60=0,"",IF(F60&gt;E60,1,0))</f>
        <v/>
      </c>
      <c r="R60" s="3">
        <f>IF(M60=0,"",IF(F60&lt;E60,1,0))</f>
        <v/>
      </c>
      <c r="S60" s="3">
        <f>IF(M60=0,"",IF(F60=E60,1,0))</f>
        <v/>
      </c>
      <c r="T60" s="2">
        <f>IF(M60=0,"",IF(E60&gt;F60,C60&amp;" def. "&amp;D60,IF(E60&lt;F60,D60&amp;" def. "&amp;C60,C60&amp;" tied "&amp;D60))&amp;" "&amp;TEXT(E60,"0.0")&amp;"–"&amp;TEXT(F60,"0.0"))</f>
        <v/>
      </c>
    </row>
    <row r="61">
      <c r="A61" s="2" t="n"/>
      <c r="B61" s="3" t="n"/>
      <c r="C61" s="2" t="n"/>
      <c r="D61" s="2" t="n"/>
      <c r="E61" s="3" t="n"/>
      <c r="F61" s="3" t="n"/>
      <c r="G61" s="2">
        <f>IF(OR(E61="",F61=""),"",IF(E61&gt;F61,C61,IF(E61&lt;F61,D61,"TIE")))</f>
        <v/>
      </c>
      <c r="H61" s="3">
        <f>IF(G61="", "", IF(G61=C61,Settings!$B$3,0))</f>
        <v/>
      </c>
      <c r="I61" s="3">
        <f>IF(G61="", "", IF(G61=D61,Settings!$B$3,0))</f>
        <v/>
      </c>
      <c r="J61" s="3">
        <f>IF(OR(E61="",H61=""),"",E61+H61)</f>
        <v/>
      </c>
      <c r="K61" s="3">
        <f>IF(OR(F61="",I61=""),"",F61+I61)</f>
        <v/>
      </c>
      <c r="L61" s="2" t="n"/>
      <c r="M61" s="3">
        <f>IF(AND(A61&lt;&gt;"",B61&lt;&gt;"",C61&lt;&gt;"",D61&lt;&gt;"",E61&lt;&gt;"",F61&lt;&gt;""),1,0)</f>
        <v/>
      </c>
      <c r="N61" s="3">
        <f>IF(M61=0,"",IF(E61&gt;F61,1,0))</f>
        <v/>
      </c>
      <c r="O61" s="3">
        <f>IF(M61=0,"",IF(E61&lt;F61,1,0))</f>
        <v/>
      </c>
      <c r="P61" s="3">
        <f>IF(M61=0,"",IF(E61=F61,1,0))</f>
        <v/>
      </c>
      <c r="Q61" s="3">
        <f>IF(M61=0,"",IF(F61&gt;E61,1,0))</f>
        <v/>
      </c>
      <c r="R61" s="3">
        <f>IF(M61=0,"",IF(F61&lt;E61,1,0))</f>
        <v/>
      </c>
      <c r="S61" s="3">
        <f>IF(M61=0,"",IF(F61=E61,1,0))</f>
        <v/>
      </c>
      <c r="T61" s="2">
        <f>IF(M61=0,"",IF(E61&gt;F61,C61&amp;" def. "&amp;D61,IF(E61&lt;F61,D61&amp;" def. "&amp;C61,C61&amp;" tied "&amp;D61))&amp;" "&amp;TEXT(E61,"0.0")&amp;"–"&amp;TEXT(F61,"0.0"))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30" customWidth="1" min="3" max="3"/>
    <col width="10" customWidth="1" min="4" max="4"/>
    <col width="6" customWidth="1" min="5" max="5"/>
    <col width="6" customWidth="1" min="6" max="6"/>
    <col width="6" customWidth="1" min="7" max="7"/>
    <col width="9" customWidth="1" min="8" max="8"/>
  </cols>
  <sheetData>
    <row r="1">
      <c r="A1" s="4">
        <f>Settings!$B$6&amp;TEXT(TODAY(),"mmmm d, yyyy")</f>
        <v/>
      </c>
    </row>
    <row r="2">
      <c r="A2" s="5">
        <f> "("&amp;Settings!$B$7&amp;" / Completed Matches: "&amp;TEXT($B$3,"0")&amp;" of "&amp;TEXT($D$3,"0")&amp;")"</f>
        <v/>
      </c>
    </row>
    <row r="3">
      <c r="A3" s="6" t="inlineStr">
        <is>
          <t>Completed Matches</t>
        </is>
      </c>
      <c r="B3" s="6">
        <f>SUM(Matches!$M$2:Matches!$M$61)</f>
        <v/>
      </c>
      <c r="C3" s="6" t="inlineStr">
        <is>
          <t>of</t>
        </is>
      </c>
      <c r="D3" s="6">
        <f>Settings!$B$5</f>
        <v/>
      </c>
    </row>
    <row r="4"/>
    <row r="5">
      <c r="A5" s="7" t="inlineStr">
        <is>
          <t>Division A Standings</t>
        </is>
      </c>
    </row>
    <row r="6">
      <c r="A6" s="1" t="inlineStr">
        <is>
          <t>Rank</t>
        </is>
      </c>
      <c r="B6" s="1" t="inlineStr">
        <is>
          <t>Player</t>
        </is>
      </c>
      <c r="C6" s="1" t="inlineStr">
        <is>
          <t>Pts</t>
        </is>
      </c>
      <c r="D6" s="1" t="inlineStr">
        <is>
          <t>Matches</t>
        </is>
      </c>
      <c r="E6" s="1" t="inlineStr">
        <is>
          <t>W</t>
        </is>
      </c>
      <c r="F6" s="1" t="inlineStr">
        <is>
          <t>L</t>
        </is>
      </c>
      <c r="G6" s="1" t="inlineStr">
        <is>
          <t>T</t>
        </is>
      </c>
      <c r="H6" s="1" t="inlineStr">
        <is>
          <t>W-L-T</t>
        </is>
      </c>
    </row>
    <row r="7">
      <c r="A7" s="3">
        <f>RANK.EQ(C7,$C$7:$C$11,0)+COUNTIFS($C$7:$C$11,C7,$E$7:$E$11,"&gt;"&amp;E7)</f>
        <v/>
      </c>
      <c r="B7" s="2">
        <f>Players!A2</f>
        <v/>
      </c>
      <c r="C7" s="3">
        <f>SUMIFS(Matches!$J$2:$J$61,Matches!$B$2:$B$61,"A",Matches!$C$2:$C$61,B7,Matches!$M$2:$M$61,1)+SUMIFS(Matches!$K$2:$K$61,Matches!$B$2:$B$61,"A",Matches!$D$2:$D$61,B7,Matches!$M$2:$M$61,1)</f>
        <v/>
      </c>
      <c r="D7" s="3">
        <f>COUNTIFS(Matches!$B$2:$B$61,"A",Matches!$C$2:$C$61,B7,Matches!$M$2:$M$61,1)+COUNTIFS(Matches!$B$2:$B$61,"A",Matches!$D$2:$D$61,B7,Matches!$M$2:$M$61,1)</f>
        <v/>
      </c>
      <c r="E7" s="3">
        <f>SUMIFS(Matches!$N$2:$N$61,Matches!$B$2:$B$61,"A",Matches!$C$2:$C$61,B7,Matches!$M$2:$M$61,1)+SUMIFS(Matches!$Q$2:$Q$61,Matches!$B$2:$B$61,"A",Matches!$D$2:$D$61,B7,Matches!$M$2:$M$61,1)</f>
        <v/>
      </c>
      <c r="F7" s="3">
        <f>SUMIFS(Matches!$O$2:$O$61,Matches!$B$2:$B$61,"A",Matches!$C$2:$C$61,B7,Matches!$M$2:$M$61,1)+SUMIFS(Matches!$R$2:$R$61,Matches!$B$2:$B$61,"A",Matches!$D$2:$D$61,B7,Matches!$M$2:$M$61,1)</f>
        <v/>
      </c>
      <c r="G7" s="3">
        <f>SUMIFS(Matches!$P$2:$P$61,Matches!$B$2:$B$61,"A",Matches!$C$2:$C$61,B7,Matches!$M$2:$M$61,1)+SUMIFS(Matches!$S$2:$S$61,Matches!$B$2:$B$61,"A",Matches!$D$2:$D$61,B7,Matches!$M$2:$M$61,1)</f>
        <v/>
      </c>
      <c r="H7" s="3">
        <f>TEXT(E7,"0")&amp;"-"&amp;TEXT(F7,"0")&amp;"-"&amp;TEXT(G7,"0")</f>
        <v/>
      </c>
    </row>
    <row r="8">
      <c r="A8" s="3">
        <f>RANK.EQ(C8,$C$7:$C$11,0)+COUNTIFS($C$7:$C$11,C8,$E$7:$E$11,"&gt;"&amp;E8)</f>
        <v/>
      </c>
      <c r="B8" s="2">
        <f>Players!A3</f>
        <v/>
      </c>
      <c r="C8" s="3">
        <f>SUMIFS(Matches!$J$2:$J$61,Matches!$B$2:$B$61,"A",Matches!$C$2:$C$61,B8,Matches!$M$2:$M$61,1)+SUMIFS(Matches!$K$2:$K$61,Matches!$B$2:$B$61,"A",Matches!$D$2:$D$61,B8,Matches!$M$2:$M$61,1)</f>
        <v/>
      </c>
      <c r="D8" s="3">
        <f>COUNTIFS(Matches!$B$2:$B$61,"A",Matches!$C$2:$C$61,B8,Matches!$M$2:$M$61,1)+COUNTIFS(Matches!$B$2:$B$61,"A",Matches!$D$2:$D$61,B8,Matches!$M$2:$M$61,1)</f>
        <v/>
      </c>
      <c r="E8" s="3">
        <f>SUMIFS(Matches!$N$2:$N$61,Matches!$B$2:$B$61,"A",Matches!$C$2:$C$61,B8,Matches!$M$2:$M$61,1)+SUMIFS(Matches!$Q$2:$Q$61,Matches!$B$2:$B$61,"A",Matches!$D$2:$D$61,B8,Matches!$M$2:$M$61,1)</f>
        <v/>
      </c>
      <c r="F8" s="3">
        <f>SUMIFS(Matches!$O$2:$O$61,Matches!$B$2:$B$61,"A",Matches!$C$2:$C$61,B8,Matches!$M$2:$M$61,1)+SUMIFS(Matches!$R$2:$R$61,Matches!$B$2:$B$61,"A",Matches!$D$2:$D$61,B8,Matches!$M$2:$M$61,1)</f>
        <v/>
      </c>
      <c r="G8" s="3">
        <f>SUMIFS(Matches!$P$2:$P$61,Matches!$B$2:$B$61,"A",Matches!$C$2:$C$61,B8,Matches!$M$2:$M$61,1)+SUMIFS(Matches!$S$2:$S$61,Matches!$B$2:$B$61,"A",Matches!$D$2:$D$61,B8,Matches!$M$2:$M$61,1)</f>
        <v/>
      </c>
      <c r="H8" s="3">
        <f>TEXT(E8,"0")&amp;"-"&amp;TEXT(F8,"0")&amp;"-"&amp;TEXT(G8,"0")</f>
        <v/>
      </c>
    </row>
    <row r="9">
      <c r="A9" s="3">
        <f>RANK.EQ(C9,$C$7:$C$11,0)+COUNTIFS($C$7:$C$11,C9,$E$7:$E$11,"&gt;"&amp;E9)</f>
        <v/>
      </c>
      <c r="B9" s="2">
        <f>Players!A4</f>
        <v/>
      </c>
      <c r="C9" s="3">
        <f>SUMIFS(Matches!$J$2:$J$61,Matches!$B$2:$B$61,"A",Matches!$C$2:$C$61,B9,Matches!$M$2:$M$61,1)+SUMIFS(Matches!$K$2:$K$61,Matches!$B$2:$B$61,"A",Matches!$D$2:$D$61,B9,Matches!$M$2:$M$61,1)</f>
        <v/>
      </c>
      <c r="D9" s="3">
        <f>COUNTIFS(Matches!$B$2:$B$61,"A",Matches!$C$2:$C$61,B9,Matches!$M$2:$M$61,1)+COUNTIFS(Matches!$B$2:$B$61,"A",Matches!$D$2:$D$61,B9,Matches!$M$2:$M$61,1)</f>
        <v/>
      </c>
      <c r="E9" s="3">
        <f>SUMIFS(Matches!$N$2:$N$61,Matches!$B$2:$B$61,"A",Matches!$C$2:$C$61,B9,Matches!$M$2:$M$61,1)+SUMIFS(Matches!$Q$2:$Q$61,Matches!$B$2:$B$61,"A",Matches!$D$2:$D$61,B9,Matches!$M$2:$M$61,1)</f>
        <v/>
      </c>
      <c r="F9" s="3">
        <f>SUMIFS(Matches!$O$2:$O$61,Matches!$B$2:$B$61,"A",Matches!$C$2:$C$61,B9,Matches!$M$2:$M$61,1)+SUMIFS(Matches!$R$2:$R$61,Matches!$B$2:$B$61,"A",Matches!$D$2:$D$61,B9,Matches!$M$2:$M$61,1)</f>
        <v/>
      </c>
      <c r="G9" s="3">
        <f>SUMIFS(Matches!$P$2:$P$61,Matches!$B$2:$B$61,"A",Matches!$C$2:$C$61,B9,Matches!$M$2:$M$61,1)+SUMIFS(Matches!$S$2:$S$61,Matches!$B$2:$B$61,"A",Matches!$D$2:$D$61,B9,Matches!$M$2:$M$61,1)</f>
        <v/>
      </c>
      <c r="H9" s="3">
        <f>TEXT(E9,"0")&amp;"-"&amp;TEXT(F9,"0")&amp;"-"&amp;TEXT(G9,"0")</f>
        <v/>
      </c>
    </row>
    <row r="10">
      <c r="A10" s="3">
        <f>RANK.EQ(C10,$C$7:$C$11,0)+COUNTIFS($C$7:$C$11,C10,$E$7:$E$11,"&gt;"&amp;E10)</f>
        <v/>
      </c>
      <c r="B10" s="2">
        <f>Players!A5</f>
        <v/>
      </c>
      <c r="C10" s="3">
        <f>SUMIFS(Matches!$J$2:$J$61,Matches!$B$2:$B$61,"A",Matches!$C$2:$C$61,B10,Matches!$M$2:$M$61,1)+SUMIFS(Matches!$K$2:$K$61,Matches!$B$2:$B$61,"A",Matches!$D$2:$D$61,B10,Matches!$M$2:$M$61,1)</f>
        <v/>
      </c>
      <c r="D10" s="3">
        <f>COUNTIFS(Matches!$B$2:$B$61,"A",Matches!$C$2:$C$61,B10,Matches!$M$2:$M$61,1)+COUNTIFS(Matches!$B$2:$B$61,"A",Matches!$D$2:$D$61,B10,Matches!$M$2:$M$61,1)</f>
        <v/>
      </c>
      <c r="E10" s="3">
        <f>SUMIFS(Matches!$N$2:$N$61,Matches!$B$2:$B$61,"A",Matches!$C$2:$C$61,B10,Matches!$M$2:$M$61,1)+SUMIFS(Matches!$Q$2:$Q$61,Matches!$B$2:$B$61,"A",Matches!$D$2:$D$61,B10,Matches!$M$2:$M$61,1)</f>
        <v/>
      </c>
      <c r="F10" s="3">
        <f>SUMIFS(Matches!$O$2:$O$61,Matches!$B$2:$B$61,"A",Matches!$C$2:$C$61,B10,Matches!$M$2:$M$61,1)+SUMIFS(Matches!$R$2:$R$61,Matches!$B$2:$B$61,"A",Matches!$D$2:$D$61,B10,Matches!$M$2:$M$61,1)</f>
        <v/>
      </c>
      <c r="G10" s="3">
        <f>SUMIFS(Matches!$P$2:$P$61,Matches!$B$2:$B$61,"A",Matches!$C$2:$C$61,B10,Matches!$M$2:$M$61,1)+SUMIFS(Matches!$S$2:$S$61,Matches!$B$2:$B$61,"A",Matches!$D$2:$D$61,B10,Matches!$M$2:$M$61,1)</f>
        <v/>
      </c>
      <c r="H10" s="3">
        <f>TEXT(E10,"0")&amp;"-"&amp;TEXT(F10,"0")&amp;"-"&amp;TEXT(G10,"0")</f>
        <v/>
      </c>
    </row>
    <row r="11">
      <c r="A11" s="3">
        <f>RANK.EQ(C11,$C$7:$C$11,0)+COUNTIFS($C$7:$C$11,C11,$E$7:$E$11,"&gt;"&amp;E11)</f>
        <v/>
      </c>
      <c r="B11" s="2">
        <f>Players!A6</f>
        <v/>
      </c>
      <c r="C11" s="3">
        <f>SUMIFS(Matches!$J$2:$J$61,Matches!$B$2:$B$61,"A",Matches!$C$2:$C$61,B11,Matches!$M$2:$M$61,1)+SUMIFS(Matches!$K$2:$K$61,Matches!$B$2:$B$61,"A",Matches!$D$2:$D$61,B11,Matches!$M$2:$M$61,1)</f>
        <v/>
      </c>
      <c r="D11" s="3">
        <f>COUNTIFS(Matches!$B$2:$B$61,"A",Matches!$C$2:$C$61,B11,Matches!$M$2:$M$61,1)+COUNTIFS(Matches!$B$2:$B$61,"A",Matches!$D$2:$D$61,B11,Matches!$M$2:$M$61,1)</f>
        <v/>
      </c>
      <c r="E11" s="3">
        <f>SUMIFS(Matches!$N$2:$N$61,Matches!$B$2:$B$61,"A",Matches!$C$2:$C$61,B11,Matches!$M$2:$M$61,1)+SUMIFS(Matches!$Q$2:$Q$61,Matches!$B$2:$B$61,"A",Matches!$D$2:$D$61,B11,Matches!$M$2:$M$61,1)</f>
        <v/>
      </c>
      <c r="F11" s="3">
        <f>SUMIFS(Matches!$O$2:$O$61,Matches!$B$2:$B$61,"A",Matches!$C$2:$C$61,B11,Matches!$M$2:$M$61,1)+SUMIFS(Matches!$R$2:$R$61,Matches!$B$2:$B$61,"A",Matches!$D$2:$D$61,B11,Matches!$M$2:$M$61,1)</f>
        <v/>
      </c>
      <c r="G11" s="3">
        <f>SUMIFS(Matches!$P$2:$P$61,Matches!$B$2:$B$61,"A",Matches!$C$2:$C$61,B11,Matches!$M$2:$M$61,1)+SUMIFS(Matches!$S$2:$S$61,Matches!$B$2:$B$61,"A",Matches!$D$2:$D$61,B11,Matches!$M$2:$M$61,1)</f>
        <v/>
      </c>
      <c r="H11" s="3">
        <f>TEXT(E11,"0")&amp;"-"&amp;TEXT(F11,"0")&amp;"-"&amp;TEXT(G11,"0")</f>
        <v/>
      </c>
    </row>
    <row r="12"/>
    <row r="13">
      <c r="A13" s="7" t="inlineStr">
        <is>
          <t>Division B Standings</t>
        </is>
      </c>
    </row>
    <row r="14">
      <c r="A14" s="1" t="inlineStr">
        <is>
          <t>Rank</t>
        </is>
      </c>
      <c r="B14" s="1" t="inlineStr">
        <is>
          <t>Player</t>
        </is>
      </c>
      <c r="C14" s="1" t="inlineStr">
        <is>
          <t>Pts</t>
        </is>
      </c>
      <c r="D14" s="1" t="inlineStr">
        <is>
          <t>Matches</t>
        </is>
      </c>
      <c r="E14" s="1" t="inlineStr">
        <is>
          <t>W</t>
        </is>
      </c>
      <c r="F14" s="1" t="inlineStr">
        <is>
          <t>L</t>
        </is>
      </c>
      <c r="G14" s="1" t="inlineStr">
        <is>
          <t>T</t>
        </is>
      </c>
      <c r="H14" s="1" t="inlineStr">
        <is>
          <t>W-L-T</t>
        </is>
      </c>
    </row>
    <row r="15">
      <c r="A15" s="3">
        <f>RANK.EQ(C15,$C$15:$C$19,0)+COUNTIFS($C$15:$C$19,C15,$E$15:$E$19,"&gt;"&amp;E15)</f>
        <v/>
      </c>
      <c r="B15" s="2">
        <f>Players!A7</f>
        <v/>
      </c>
      <c r="C15" s="3">
        <f>SUMIFS(Matches!$J$2:$J$61,Matches!$B$2:$B$61,"B",Matches!$C$2:$C$61,B15,Matches!$M$2:$M$61,1)+SUMIFS(Matches!$K$2:$K$61,Matches!$B$2:$B$61,"B",Matches!$D$2:$D$61,B15,Matches!$M$2:$M$61,1)</f>
        <v/>
      </c>
      <c r="D15" s="3">
        <f>COUNTIFS(Matches!$B$2:$B$61,"B",Matches!$C$2:$C$61,B15,Matches!$M$2:$M$61,1)+COUNTIFS(Matches!$B$2:$B$61,"B",Matches!$D$2:$D$61,B15,Matches!$M$2:$M$61,1)</f>
        <v/>
      </c>
      <c r="E15" s="3">
        <f>SUMIFS(Matches!$N$2:$N$61,Matches!$B$2:$B$61,"B",Matches!$C$2:$C$61,B15,Matches!$M$2:$M$61,1)+SUMIFS(Matches!$Q$2:$Q$61,Matches!$B$2:$B$61,"B",Matches!$D$2:$D$61,B15,Matches!$M$2:$M$61,1)</f>
        <v/>
      </c>
      <c r="F15" s="3">
        <f>SUMIFS(Matches!$O$2:$O$61,Matches!$B$2:$B$61,"B",Matches!$C$2:$C$61,B15,Matches!$M$2:$M$61,1)+SUMIFS(Matches!$R$2:$R$61,Matches!$B$2:$B$61,"B",Matches!$D$2:$D$61,B15,Matches!$M$2:$M$61,1)</f>
        <v/>
      </c>
      <c r="G15" s="3">
        <f>SUMIFS(Matches!$P$2:$P$61,Matches!$B$2:$B$61,"B",Matches!$C$2:$C$61,B15,Matches!$M$2:$M$61,1)+SUMIFS(Matches!$S$2:$S$61,Matches!$B$2:$B$61,"B",Matches!$D$2:$D$61,B15,Matches!$M$2:$M$61,1)</f>
        <v/>
      </c>
      <c r="H15" s="3">
        <f>TEXT(E15,"0")&amp;"-"&amp;TEXT(F15,"0")&amp;"-"&amp;TEXT(G15,"0")</f>
        <v/>
      </c>
    </row>
    <row r="16">
      <c r="A16" s="3">
        <f>RANK.EQ(C16,$C$15:$C$19,0)+COUNTIFS($C$15:$C$19,C16,$E$15:$E$19,"&gt;"&amp;E16)</f>
        <v/>
      </c>
      <c r="B16" s="2">
        <f>Players!A8</f>
        <v/>
      </c>
      <c r="C16" s="3">
        <f>SUMIFS(Matches!$J$2:$J$61,Matches!$B$2:$B$61,"B",Matches!$C$2:$C$61,B16,Matches!$M$2:$M$61,1)+SUMIFS(Matches!$K$2:$K$61,Matches!$B$2:$B$61,"B",Matches!$D$2:$D$61,B16,Matches!$M$2:$M$61,1)</f>
        <v/>
      </c>
      <c r="D16" s="3">
        <f>COUNTIFS(Matches!$B$2:$B$61,"B",Matches!$C$2:$C$61,B16,Matches!$M$2:$M$61,1)+COUNTIFS(Matches!$B$2:$B$61,"B",Matches!$D$2:$D$61,B16,Matches!$M$2:$M$61,1)</f>
        <v/>
      </c>
      <c r="E16" s="3">
        <f>SUMIFS(Matches!$N$2:$N$61,Matches!$B$2:$B$61,"B",Matches!$C$2:$C$61,B16,Matches!$M$2:$M$61,1)+SUMIFS(Matches!$Q$2:$Q$61,Matches!$B$2:$B$61,"B",Matches!$D$2:$D$61,B16,Matches!$M$2:$M$61,1)</f>
        <v/>
      </c>
      <c r="F16" s="3">
        <f>SUMIFS(Matches!$O$2:$O$61,Matches!$B$2:$B$61,"B",Matches!$C$2:$C$61,B16,Matches!$M$2:$M$61,1)+SUMIFS(Matches!$R$2:$R$61,Matches!$B$2:$B$61,"B",Matches!$D$2:$D$61,B16,Matches!$M$2:$M$61,1)</f>
        <v/>
      </c>
      <c r="G16" s="3">
        <f>SUMIFS(Matches!$P$2:$P$61,Matches!$B$2:$B$61,"B",Matches!$C$2:$C$61,B16,Matches!$M$2:$M$61,1)+SUMIFS(Matches!$S$2:$S$61,Matches!$B$2:$B$61,"B",Matches!$D$2:$D$61,B16,Matches!$M$2:$M$61,1)</f>
        <v/>
      </c>
      <c r="H16" s="3">
        <f>TEXT(E16,"0")&amp;"-"&amp;TEXT(F16,"0")&amp;"-"&amp;TEXT(G16,"0")</f>
        <v/>
      </c>
    </row>
    <row r="17">
      <c r="A17" s="3">
        <f>RANK.EQ(C17,$C$15:$C$19,0)+COUNTIFS($C$15:$C$19,C17,$E$15:$E$19,"&gt;"&amp;E17)</f>
        <v/>
      </c>
      <c r="B17" s="2">
        <f>Players!A9</f>
        <v/>
      </c>
      <c r="C17" s="3">
        <f>SUMIFS(Matches!$J$2:$J$61,Matches!$B$2:$B$61,"B",Matches!$C$2:$C$61,B17,Matches!$M$2:$M$61,1)+SUMIFS(Matches!$K$2:$K$61,Matches!$B$2:$B$61,"B",Matches!$D$2:$D$61,B17,Matches!$M$2:$M$61,1)</f>
        <v/>
      </c>
      <c r="D17" s="3">
        <f>COUNTIFS(Matches!$B$2:$B$61,"B",Matches!$C$2:$C$61,B17,Matches!$M$2:$M$61,1)+COUNTIFS(Matches!$B$2:$B$61,"B",Matches!$D$2:$D$61,B17,Matches!$M$2:$M$61,1)</f>
        <v/>
      </c>
      <c r="E17" s="3">
        <f>SUMIFS(Matches!$N$2:$N$61,Matches!$B$2:$B$61,"B",Matches!$C$2:$C$61,B17,Matches!$M$2:$M$61,1)+SUMIFS(Matches!$Q$2:$Q$61,Matches!$B$2:$B$61,"B",Matches!$D$2:$D$61,B17,Matches!$M$2:$M$61,1)</f>
        <v/>
      </c>
      <c r="F17" s="3">
        <f>SUMIFS(Matches!$O$2:$O$61,Matches!$B$2:$B$61,"B",Matches!$C$2:$C$61,B17,Matches!$M$2:$M$61,1)+SUMIFS(Matches!$R$2:$R$61,Matches!$B$2:$B$61,"B",Matches!$D$2:$D$61,B17,Matches!$M$2:$M$61,1)</f>
        <v/>
      </c>
      <c r="G17" s="3">
        <f>SUMIFS(Matches!$P$2:$P$61,Matches!$B$2:$B$61,"B",Matches!$C$2:$C$61,B17,Matches!$M$2:$M$61,1)+SUMIFS(Matches!$S$2:$S$61,Matches!$B$2:$B$61,"B",Matches!$D$2:$D$61,B17,Matches!$M$2:$M$61,1)</f>
        <v/>
      </c>
      <c r="H17" s="3">
        <f>TEXT(E17,"0")&amp;"-"&amp;TEXT(F17,"0")&amp;"-"&amp;TEXT(G17,"0")</f>
        <v/>
      </c>
    </row>
    <row r="18">
      <c r="A18" s="3">
        <f>RANK.EQ(C18,$C$15:$C$19,0)+COUNTIFS($C$15:$C$19,C18,$E$15:$E$19,"&gt;"&amp;E18)</f>
        <v/>
      </c>
      <c r="B18" s="2">
        <f>Players!A10</f>
        <v/>
      </c>
      <c r="C18" s="3">
        <f>SUMIFS(Matches!$J$2:$J$61,Matches!$B$2:$B$61,"B",Matches!$C$2:$C$61,B18,Matches!$M$2:$M$61,1)+SUMIFS(Matches!$K$2:$K$61,Matches!$B$2:$B$61,"B",Matches!$D$2:$D$61,B18,Matches!$M$2:$M$61,1)</f>
        <v/>
      </c>
      <c r="D18" s="3">
        <f>COUNTIFS(Matches!$B$2:$B$61,"B",Matches!$C$2:$C$61,B18,Matches!$M$2:$M$61,1)+COUNTIFS(Matches!$B$2:$B$61,"B",Matches!$D$2:$D$61,B18,Matches!$M$2:$M$61,1)</f>
        <v/>
      </c>
      <c r="E18" s="3">
        <f>SUMIFS(Matches!$N$2:$N$61,Matches!$B$2:$B$61,"B",Matches!$C$2:$C$61,B18,Matches!$M$2:$M$61,1)+SUMIFS(Matches!$Q$2:$Q$61,Matches!$B$2:$B$61,"B",Matches!$D$2:$D$61,B18,Matches!$M$2:$M$61,1)</f>
        <v/>
      </c>
      <c r="F18" s="3">
        <f>SUMIFS(Matches!$O$2:$O$61,Matches!$B$2:$B$61,"B",Matches!$C$2:$C$61,B18,Matches!$M$2:$M$61,1)+SUMIFS(Matches!$R$2:$R$61,Matches!$B$2:$B$61,"B",Matches!$D$2:$D$61,B18,Matches!$M$2:$M$61,1)</f>
        <v/>
      </c>
      <c r="G18" s="3">
        <f>SUMIFS(Matches!$P$2:$P$61,Matches!$B$2:$B$61,"B",Matches!$C$2:$C$61,B18,Matches!$M$2:$M$61,1)+SUMIFS(Matches!$S$2:$S$61,Matches!$B$2:$B$61,"B",Matches!$D$2:$D$61,B18,Matches!$M$2:$M$61,1)</f>
        <v/>
      </c>
      <c r="H18" s="3">
        <f>TEXT(E18,"0")&amp;"-"&amp;TEXT(F18,"0")&amp;"-"&amp;TEXT(G18,"0")</f>
        <v/>
      </c>
    </row>
    <row r="19">
      <c r="A19" s="3">
        <f>RANK.EQ(C19,$C$15:$C$19,0)+COUNTIFS($C$15:$C$19,C19,$E$15:$E$19,"&gt;"&amp;E19)</f>
        <v/>
      </c>
      <c r="B19" s="2">
        <f>Players!A11</f>
        <v/>
      </c>
      <c r="C19" s="3">
        <f>SUMIFS(Matches!$J$2:$J$61,Matches!$B$2:$B$61,"B",Matches!$C$2:$C$61,B19,Matches!$M$2:$M$61,1)+SUMIFS(Matches!$K$2:$K$61,Matches!$B$2:$B$61,"B",Matches!$D$2:$D$61,B19,Matches!$M$2:$M$61,1)</f>
        <v/>
      </c>
      <c r="D19" s="3">
        <f>COUNTIFS(Matches!$B$2:$B$61,"B",Matches!$C$2:$C$61,B19,Matches!$M$2:$M$61,1)+COUNTIFS(Matches!$B$2:$B$61,"B",Matches!$D$2:$D$61,B19,Matches!$M$2:$M$61,1)</f>
        <v/>
      </c>
      <c r="E19" s="3">
        <f>SUMIFS(Matches!$N$2:$N$61,Matches!$B$2:$B$61,"B",Matches!$C$2:$C$61,B19,Matches!$M$2:$M$61,1)+SUMIFS(Matches!$Q$2:$Q$61,Matches!$B$2:$B$61,"B",Matches!$D$2:$D$61,B19,Matches!$M$2:$M$61,1)</f>
        <v/>
      </c>
      <c r="F19" s="3">
        <f>SUMIFS(Matches!$O$2:$O$61,Matches!$B$2:$B$61,"B",Matches!$C$2:$C$61,B19,Matches!$M$2:$M$61,1)+SUMIFS(Matches!$R$2:$R$61,Matches!$B$2:$B$61,"B",Matches!$D$2:$D$61,B19,Matches!$M$2:$M$61,1)</f>
        <v/>
      </c>
      <c r="G19" s="3">
        <f>SUMIFS(Matches!$P$2:$P$61,Matches!$B$2:$B$61,"B",Matches!$C$2:$C$61,B19,Matches!$M$2:$M$61,1)+SUMIFS(Matches!$S$2:$S$61,Matches!$B$2:$B$61,"B",Matches!$D$2:$D$61,B19,Matches!$M$2:$M$61,1)</f>
        <v/>
      </c>
      <c r="H19" s="3">
        <f>TEXT(E19,"0")&amp;"-"&amp;TEXT(F19,"0")&amp;"-"&amp;TEXT(G19,"0")</f>
        <v/>
      </c>
    </row>
    <row r="20"/>
    <row r="21">
      <c r="A21" s="7" t="inlineStr">
        <is>
          <t>Match Results (most recent first)</t>
        </is>
      </c>
    </row>
    <row r="22">
      <c r="A22" s="8" t="inlineStr">
        <is>
          <t>Division A</t>
        </is>
      </c>
    </row>
    <row r="23">
      <c r="A23" s="1" t="inlineStr">
        <is>
          <t>Date</t>
        </is>
      </c>
      <c r="B23" s="1" t="inlineStr">
        <is>
          <t>Result</t>
        </is>
      </c>
      <c r="C23" s="1" t="inlineStr">
        <is>
          <t>Notes</t>
        </is>
      </c>
    </row>
    <row r="24">
      <c r="A24" s="3">
        <f>LET(d,Matches!$A$2:$A$61,div,Matches!$B$2:$B$61,res,Matches!$T$2:$T$61,notes,Matches!$L$2:$L$61,comp,Matches!$M$2:$M$61,mask,(div="A")*(comp=1),sorted,SORTBY(FILTER(HSTACK(d,res,notes),mask),1,-1),TAKE(sorted,10))</f>
        <v/>
      </c>
      <c r="B24" s="2" t="n"/>
      <c r="C24" s="2" t="n"/>
    </row>
    <row r="25">
      <c r="A25" s="3" t="n"/>
      <c r="B25" s="2" t="n"/>
      <c r="C25" s="2" t="n"/>
    </row>
    <row r="26">
      <c r="A26" s="3" t="n"/>
      <c r="B26" s="2" t="n"/>
      <c r="C26" s="2" t="n"/>
    </row>
    <row r="27">
      <c r="A27" s="3" t="n"/>
      <c r="B27" s="2" t="n"/>
      <c r="C27" s="2" t="n"/>
    </row>
    <row r="28">
      <c r="A28" s="3" t="n"/>
      <c r="B28" s="2" t="n"/>
      <c r="C28" s="2" t="n"/>
    </row>
    <row r="29">
      <c r="A29" s="3" t="n"/>
      <c r="B29" s="2" t="n"/>
      <c r="C29" s="2" t="n"/>
    </row>
    <row r="30">
      <c r="A30" s="9" t="inlineStr">
        <is>
          <t>Division B</t>
        </is>
      </c>
      <c r="B30" s="12" t="n"/>
      <c r="C30" s="12" t="n"/>
      <c r="D30" s="12" t="n"/>
      <c r="E30" s="12" t="n"/>
      <c r="F30" s="12" t="n"/>
      <c r="G30" s="12" t="n"/>
      <c r="H30" s="13" t="n"/>
    </row>
    <row r="31">
      <c r="A31" s="1" t="inlineStr">
        <is>
          <t>Date</t>
        </is>
      </c>
      <c r="B31" s="10" t="inlineStr">
        <is>
          <t>Result</t>
        </is>
      </c>
      <c r="C31" s="10" t="inlineStr">
        <is>
          <t>Notes</t>
        </is>
      </c>
    </row>
    <row r="32">
      <c r="A32" s="3">
        <f>LET(d,Matches!$A$2:$A$61,div,Matches!$B$2:$B$61,res,Matches!$T$2:$T$61,notes,Matches!$L$2:$L$61,comp,Matches!$M$2:$M$61,mask,(div="B")*(comp=1),sorted,SORTBY(FILTER(HSTACK(d,res,notes),mask),1,-1),TAKE(sorted,10))</f>
        <v/>
      </c>
      <c r="B32" s="2" t="n"/>
      <c r="C32" s="2" t="n"/>
    </row>
    <row r="33">
      <c r="A33" s="3" t="n"/>
      <c r="B33" s="2" t="n"/>
      <c r="C33" s="2" t="n"/>
    </row>
    <row r="34">
      <c r="A34" s="3" t="n"/>
      <c r="B34" s="2" t="n"/>
      <c r="C34" s="2" t="n"/>
    </row>
    <row r="35">
      <c r="A35" s="3" t="n"/>
      <c r="B35" s="2" t="n"/>
      <c r="C35" s="2" t="n"/>
    </row>
    <row r="36">
      <c r="A36" s="3" t="n"/>
      <c r="B36" s="2" t="n"/>
      <c r="C36" s="2" t="n"/>
    </row>
    <row r="37">
      <c r="A37" s="3" t="n"/>
      <c r="B37" s="2" t="n"/>
      <c r="C37" s="2" t="n"/>
    </row>
    <row r="38">
      <c r="A38" s="3" t="n"/>
      <c r="B38" s="2" t="n"/>
      <c r="C38" s="2" t="n"/>
    </row>
    <row r="39">
      <c r="A39" s="3" t="n"/>
      <c r="B39" s="2" t="n"/>
      <c r="C39" s="2" t="n"/>
    </row>
    <row r="40">
      <c r="A40" s="3" t="inlineStr">
        <is>
          <t>Playoffs</t>
        </is>
      </c>
      <c r="B40" s="2" t="n"/>
      <c r="C40" s="2" t="n"/>
    </row>
    <row r="41">
      <c r="A41" s="3" t="inlineStr">
        <is>
          <t>Date</t>
        </is>
      </c>
      <c r="B41" s="2" t="inlineStr">
        <is>
          <t>Result</t>
        </is>
      </c>
      <c r="C41" s="2" t="inlineStr">
        <is>
          <t>Notes</t>
        </is>
      </c>
    </row>
    <row r="42">
      <c r="A42">
        <f>LET(d,Matches!$A$2:$A$61,div,Matches!$B$2:$B$61,res,Matches!$G$2:$G$61,notes,Matches!$L$2:$L$61,done,Matches!$M$2:$M$61,mask,(div="PO")*(done=1),filt,FILTER(CHOOSE({1,2,3},d,res,notes),mask,""),SORT(filt,1,-1))</f>
        <v/>
      </c>
    </row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mergeCells count="7">
    <mergeCell ref="A1:H1"/>
    <mergeCell ref="A21:H21"/>
    <mergeCell ref="A30:H30"/>
    <mergeCell ref="A2:H2"/>
    <mergeCell ref="A13:H13"/>
    <mergeCell ref="A5:H5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0" customWidth="1" min="1" max="1"/>
    <col width="2" customWidth="1" min="2" max="2"/>
    <col width="45" customWidth="1" min="3" max="3"/>
  </cols>
  <sheetData>
    <row r="1">
      <c r="A1" s="14" t="inlineStr">
        <is>
          <t>Copy/Paste Update (auto-generated)</t>
        </is>
      </c>
    </row>
    <row r="2"/>
    <row r="3">
      <c r="A3" s="8" t="inlineStr">
        <is>
          <t>Output:</t>
        </is>
      </c>
    </row>
    <row r="4">
      <c r="A4" s="7" t="inlineStr">
        <is>
          <t>Division A Standings</t>
        </is>
      </c>
      <c r="C4" s="7" t="inlineStr">
        <is>
          <t>Division B Standings</t>
        </is>
      </c>
    </row>
    <row r="5">
      <c r="A5">
        <f>TEXT(A7,"0")&amp;". "&amp;Dashboard!B7&amp;" – "&amp;TEXT(Dashboard!C7,"0.0")&amp;" pts ("&amp;TEXT(Dashboard!D7,"0")&amp;" matches | "&amp;Dashboard!H7&amp;")"</f>
        <v/>
      </c>
      <c r="C5">
        <f>TEXT(A15,"0")&amp;". "&amp;Dashboard!B15&amp;" – "&amp;TEXT(Dashboard!C15,"0.0")&amp;" pts ("&amp;TEXT(Dashboard!D15,"0")&amp;" matches | "&amp;Dashboard!H15&amp;")"</f>
        <v/>
      </c>
    </row>
    <row r="6">
      <c r="A6">
        <f>TEXT(A8,"0")&amp;". "&amp;Dashboard!B8&amp;" – "&amp;TEXT(Dashboard!C8,"0.0")&amp;" pts ("&amp;TEXT(Dashboard!D8,"0")&amp;" matches | "&amp;Dashboard!H8&amp;")"</f>
        <v/>
      </c>
      <c r="C6">
        <f>TEXT(A16,"0")&amp;". "&amp;Dashboard!B16&amp;" – "&amp;TEXT(Dashboard!C16,"0.0")&amp;" pts ("&amp;TEXT(Dashboard!D16,"0")&amp;" matches | "&amp;Dashboard!H16&amp;")"</f>
        <v/>
      </c>
    </row>
    <row r="7">
      <c r="A7">
        <f>TEXT(A9,"0")&amp;". "&amp;Dashboard!B9&amp;" – "&amp;TEXT(Dashboard!C9,"0.0")&amp;" pts ("&amp;TEXT(Dashboard!D9,"0")&amp;" matches | "&amp;Dashboard!H9&amp;")"</f>
        <v/>
      </c>
      <c r="C7">
        <f>TEXT(A17,"0")&amp;". "&amp;Dashboard!B17&amp;" – "&amp;TEXT(Dashboard!C17,"0.0")&amp;" pts ("&amp;TEXT(Dashboard!D17,"0")&amp;" matches | "&amp;Dashboard!H17&amp;")"</f>
        <v/>
      </c>
    </row>
    <row r="8">
      <c r="A8">
        <f>TEXT(A10,"0")&amp;". "&amp;Dashboard!B10&amp;" – "&amp;TEXT(Dashboard!C10,"0.0")&amp;" pts ("&amp;TEXT(Dashboard!D10,"0")&amp;" matches | "&amp;Dashboard!H10&amp;")"</f>
        <v/>
      </c>
      <c r="C8">
        <f>TEXT(A18,"0")&amp;". "&amp;Dashboard!B18&amp;" – "&amp;TEXT(Dashboard!C18,"0.0")&amp;" pts ("&amp;TEXT(Dashboard!D18,"0")&amp;" matches | "&amp;Dashboard!H18&amp;")"</f>
        <v/>
      </c>
    </row>
    <row r="9">
      <c r="A9">
        <f>TEXT(A11,"0")&amp;". "&amp;Dashboard!B11&amp;" – "&amp;TEXT(Dashboard!C11,"0.0")&amp;" pts ("&amp;TEXT(Dashboard!D11,"0")&amp;" matches | "&amp;Dashboard!H11&amp;")"</f>
        <v/>
      </c>
      <c r="C9">
        <f>TEXT(A19,"0")&amp;". "&amp;Dashboard!B19&amp;" – "&amp;TEXT(Dashboard!C19,"0.0")&amp;" pts ("&amp;TEXT(Dashboard!D19,"0")&amp;" matches | "&amp;Dashboard!H19&amp;")"</f>
        <v/>
      </c>
    </row>
    <row r="10">
      <c r="A10" s="8" t="inlineStr">
        <is>
          <t>Division B Standings</t>
        </is>
      </c>
    </row>
    <row r="11">
      <c r="A11">
        <f>TEXT(1,"0")&amp;". "&amp;Dashboard!B15&amp;" – "&amp;TEXT(Dashboard!C15,"0.0")&amp;" pts ("&amp;TEXT(Dashboard!D15,"0")&amp;" matches | "&amp;Dashboard!H15&amp;")"</f>
        <v/>
      </c>
    </row>
    <row r="12">
      <c r="A12" s="8">
        <f>TEXT(2,"0")&amp;". "&amp;Dashboard!B16&amp;" – "&amp;TEXT(Dashboard!C16,"0.0")&amp;" pts ("&amp;TEXT(Dashboard!D16,"0")&amp;" matches | "&amp;Dashboard!H16&amp;")"</f>
        <v/>
      </c>
    </row>
    <row r="13" ht="260" customHeight="1">
      <c r="A13" s="11">
        <f>TEXTJOIN(CHAR(10),TRUE,Dashboard!A1,Dashboard!A2,"","Division A Standings",A5:A9,"",A10,A11:A15,"",A18,A20:A30,"",A34,A35:A44,"",A48,A49:A53)</f>
        <v/>
      </c>
    </row>
    <row r="14">
      <c r="A14">
        <f>TEXT(4,"0")&amp;". "&amp;Dashboard!B18&amp;" – "&amp;TEXT(Dashboard!C18,"0.0")&amp;" pts ("&amp;TEXT(Dashboard!D18,"0")&amp;" matches | "&amp;Dashboard!H18&amp;")"</f>
        <v/>
      </c>
    </row>
    <row r="15">
      <c r="A15">
        <f>TEXT(5,"0")&amp;". "&amp;Dashboard!B19&amp;" – "&amp;TEXT(Dashboard!C19,"0.0")&amp;" pts ("&amp;TEXT(Dashboard!D19,"0")&amp;" matches | "&amp;Dashboard!H19&amp;")"</f>
        <v/>
      </c>
    </row>
    <row r="16"/>
    <row r="17">
      <c r="A17" t="inlineStr"/>
    </row>
    <row r="18">
      <c r="A18" s="8" t="inlineStr">
        <is>
          <t>Match Results (most recent first)</t>
        </is>
      </c>
    </row>
    <row r="19">
      <c r="A19" t="inlineStr"/>
    </row>
    <row r="20">
      <c r="A20" t="inlineStr">
        <is>
          <t>Division A</t>
        </is>
      </c>
    </row>
    <row r="21">
      <c r="A21">
        <f>IF(Dashboard!A24="","",TEXT(Dashboard!A24,"m/d")&amp;" – "&amp;Dashboard!B24&amp;IF(Dashboard!C24&lt;&gt;""," ("&amp;Dashboard!C24&amp;")",""))</f>
        <v/>
      </c>
    </row>
    <row r="22">
      <c r="A22">
        <f>IF(Dashboard!A25="","",TEXT(Dashboard!A25,"m/d")&amp;" – "&amp;Dashboard!B25&amp;IF(Dashboard!C25&lt;&gt;""," ("&amp;Dashboard!C25&amp;")",""))</f>
        <v/>
      </c>
    </row>
    <row r="23">
      <c r="A23">
        <f>IF(Dashboard!A26="","",TEXT(Dashboard!A26,"m/d")&amp;" – "&amp;Dashboard!B26&amp;IF(Dashboard!C26&lt;&gt;""," ("&amp;Dashboard!C26&amp;")",""))</f>
        <v/>
      </c>
    </row>
    <row r="24">
      <c r="A24">
        <f>IF(Dashboard!A27="","",TEXT(Dashboard!A27,"m/d")&amp;" – "&amp;Dashboard!B27&amp;IF(Dashboard!C27&lt;&gt;""," ("&amp;Dashboard!C27&amp;")",""))</f>
        <v/>
      </c>
    </row>
    <row r="25">
      <c r="A25">
        <f>IF(Dashboard!A28="","",TEXT(Dashboard!A28,"m/d")&amp;" – "&amp;Dashboard!B28&amp;IF(Dashboard!C28&lt;&gt;""," ("&amp;Dashboard!C28&amp;")",""))</f>
        <v/>
      </c>
    </row>
    <row r="26">
      <c r="A26">
        <f>IF(Dashboard!A29="","",TEXT(Dashboard!A29,"m/d")&amp;" – "&amp;Dashboard!B29&amp;IF(Dashboard!C29&lt;&gt;""," ("&amp;Dashboard!C29&amp;")",""))</f>
        <v/>
      </c>
    </row>
    <row r="27">
      <c r="A27">
        <f>IF(Dashboard!A30="","",TEXT(Dashboard!A30,"m/d")&amp;" – "&amp;Dashboard!B30&amp;IF(Dashboard!C30&lt;&gt;""," ("&amp;Dashboard!C30&amp;")",""))</f>
        <v/>
      </c>
    </row>
    <row r="28">
      <c r="A28">
        <f>IF(Dashboard!A31="","",TEXT(Dashboard!A31,"m/d")&amp;" – "&amp;Dashboard!B31&amp;IF(Dashboard!C31&lt;&gt;""," ("&amp;Dashboard!C31&amp;")",""))</f>
        <v/>
      </c>
    </row>
    <row r="29">
      <c r="A29">
        <f>IF(Dashboard!A32="","",TEXT(Dashboard!A32,"m/d")&amp;" – "&amp;Dashboard!B32&amp;IF(Dashboard!C32&lt;&gt;""," ("&amp;Dashboard!C32&amp;")",""))</f>
        <v/>
      </c>
    </row>
    <row r="30">
      <c r="A30">
        <f>IF(Dashboard!A33="","",TEXT(Dashboard!A33,"m/d")&amp;" – "&amp;Dashboard!B33&amp;IF(Dashboard!C33&lt;&gt;""," ("&amp;Dashboard!C33&amp;")",""))</f>
        <v/>
      </c>
    </row>
    <row r="31"/>
    <row r="32"/>
    <row r="33">
      <c r="A33" t="inlineStr"/>
    </row>
    <row r="34">
      <c r="A34" s="8" t="inlineStr">
        <is>
          <t>Division B</t>
        </is>
      </c>
    </row>
    <row r="35">
      <c r="A35">
        <f>IF(Dashboard!A32="","",TEXT(Dashboard!A32,"m/d")&amp;" – "&amp;Dashboard!B32&amp;IF(Dashboard!C32&lt;&gt;""," ("&amp;Dashboard!C32&amp;")",""))</f>
        <v/>
      </c>
    </row>
    <row r="36">
      <c r="A36">
        <f>IF(Dashboard!A33="","",TEXT(Dashboard!A33,"m/d")&amp;" – "&amp;Dashboard!B33&amp;IF(Dashboard!C33&lt;&gt;""," ("&amp;Dashboard!C33&amp;")",""))</f>
        <v/>
      </c>
    </row>
    <row r="37">
      <c r="A37">
        <f>IF(Dashboard!A34="","",TEXT(Dashboard!A34,"m/d")&amp;" – "&amp;Dashboard!B34&amp;IF(Dashboard!C34&lt;&gt;""," ("&amp;Dashboard!C34&amp;")",""))</f>
        <v/>
      </c>
    </row>
    <row r="38">
      <c r="A38">
        <f>IF(Dashboard!A35="","",TEXT(Dashboard!A35,"m/d")&amp;" – "&amp;Dashboard!B35&amp;IF(Dashboard!C35&lt;&gt;""," ("&amp;Dashboard!C35&amp;")",""))</f>
        <v/>
      </c>
    </row>
    <row r="39">
      <c r="A39">
        <f>IF(Dashboard!A36="","",TEXT(Dashboard!A36,"m/d")&amp;" – "&amp;Dashboard!B36&amp;IF(Dashboard!C36&lt;&gt;""," ("&amp;Dashboard!C36&amp;")",""))</f>
        <v/>
      </c>
    </row>
    <row r="40">
      <c r="A40">
        <f>IF(Dashboard!A37="","",TEXT(Dashboard!A37,"m/d")&amp;" – "&amp;Dashboard!B37&amp;IF(Dashboard!C37&lt;&gt;""," ("&amp;Dashboard!C37&amp;")",""))</f>
        <v/>
      </c>
    </row>
    <row r="41">
      <c r="A41">
        <f>IF(Dashboard!A38="","",TEXT(Dashboard!A38,"m/d")&amp;" – "&amp;Dashboard!B38&amp;IF(Dashboard!C38&lt;&gt;""," ("&amp;Dashboard!C38&amp;")",""))</f>
        <v/>
      </c>
    </row>
    <row r="42">
      <c r="A42">
        <f>IF(Dashboard!A39="","",TEXT(Dashboard!A39,"m/d")&amp;" – "&amp;Dashboard!B39&amp;IF(Dashboard!C39&lt;&gt;""," ("&amp;Dashboard!C39&amp;")",""))</f>
        <v/>
      </c>
    </row>
    <row r="43">
      <c r="A43">
        <f>IF(Dashboard!A40="","",TEXT(Dashboard!A40,"m/d")&amp;" – "&amp;Dashboard!B40&amp;IF(Dashboard!C40&lt;&gt;""," ("&amp;Dashboard!C40&amp;")",""))</f>
        <v/>
      </c>
    </row>
    <row r="44">
      <c r="A44">
        <f>IF(Dashboard!A41="","",TEXT(Dashboard!A41,"m/d")&amp;" – "&amp;Dashboard!B41&amp;IF(Dashboard!C41&lt;&gt;""," ("&amp;Dashboard!C41&amp;")",""))</f>
        <v/>
      </c>
    </row>
    <row r="45"/>
    <row r="46"/>
    <row r="47">
      <c r="A47" t="inlineStr"/>
    </row>
    <row r="48">
      <c r="A48" s="8" t="inlineStr">
        <is>
          <t>Playoffs</t>
        </is>
      </c>
    </row>
    <row r="49">
      <c r="A49">
        <f>IF(Dashboard!A42="","",TEXT(Dashboard!A42,"m/d")&amp;" – "&amp;Dashboard!B42&amp;IF(Dashboard!C42&lt;&gt;""," ("&amp;Dashboard!C42&amp;")",""))</f>
        <v/>
      </c>
    </row>
    <row r="50">
      <c r="A50">
        <f>IF(Dashboard!A43="","",TEXT(Dashboard!A43,"m/d")&amp;" – "&amp;Dashboard!B43&amp;IF(Dashboard!C43&lt;&gt;""," ("&amp;Dashboard!C43&amp;")",""))</f>
        <v/>
      </c>
    </row>
    <row r="51">
      <c r="A51">
        <f>IF(Dashboard!A44="","",TEXT(Dashboard!A44,"m/d")&amp;" – "&amp;Dashboard!B44&amp;IF(Dashboard!C44&lt;&gt;""," ("&amp;Dashboard!C44&amp;")",""))</f>
        <v/>
      </c>
    </row>
    <row r="52">
      <c r="A52">
        <f>IF(Dashboard!A45="","",TEXT(Dashboard!A45,"m/d")&amp;" – "&amp;Dashboard!B45&amp;IF(Dashboard!C45&lt;&gt;""," ("&amp;Dashboard!C45&amp;")",""))</f>
        <v/>
      </c>
    </row>
    <row r="53">
      <c r="A53">
        <f>IF(Dashboard!A46="","",TEXT(Dashboard!A46,"m/d")&amp;" – "&amp;Dashboard!B46&amp;IF(Dashboard!C46&lt;&gt;""," ("&amp;Dashboard!C46&amp;")",""))</f>
        <v/>
      </c>
    </row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2025-12-31T04:34:43Z</dcterms:created>
  <dcterms:modified xmlns:dcterms="http://purl.org/dc/terms/" xmlns:xsi="http://www.w3.org/2001/XMLSchema-instance" xsi:type="dcterms:W3CDTF">2025-12-31T04:41:08Z</dcterms:modified>
</cp:coreProperties>
</file>