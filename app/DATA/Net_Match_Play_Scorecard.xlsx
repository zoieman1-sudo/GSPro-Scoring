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usmodulargroupeast-my.sharepoint.com/personal/andy_alcarese_usmge_com/Documents/Temp Folder Before Doc is Filed/"/>
    </mc:Choice>
  </mc:AlternateContent>
  <xr:revisionPtr revIDLastSave="0" documentId="14_{99A8B7AA-3C19-4CBC-BCC4-1D203D7CA75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Net Match Pla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N38" i="1"/>
  <c r="M38" i="1"/>
  <c r="N37" i="1"/>
  <c r="M37" i="1"/>
  <c r="N35" i="1"/>
  <c r="M35" i="1"/>
  <c r="N33" i="1"/>
  <c r="M33" i="1"/>
  <c r="N29" i="1"/>
  <c r="M29" i="1"/>
  <c r="M24" i="1"/>
  <c r="N24" i="1"/>
  <c r="N36" i="1"/>
  <c r="M36" i="1"/>
  <c r="N34" i="1"/>
  <c r="M34" i="1"/>
  <c r="N32" i="1"/>
  <c r="M32" i="1"/>
  <c r="N31" i="1"/>
  <c r="M31" i="1"/>
  <c r="N30" i="1"/>
  <c r="M30" i="1"/>
  <c r="N27" i="1"/>
  <c r="M27" i="1"/>
  <c r="N26" i="1"/>
  <c r="M26" i="1"/>
  <c r="N25" i="1"/>
  <c r="M25" i="1"/>
  <c r="N23" i="1"/>
  <c r="M23" i="1"/>
  <c r="N22" i="1"/>
  <c r="M22" i="1"/>
  <c r="N21" i="1"/>
  <c r="M21" i="1"/>
  <c r="N20" i="1"/>
  <c r="M20" i="1"/>
  <c r="N19" i="1"/>
  <c r="M19" i="1"/>
  <c r="E38" i="1"/>
  <c r="D38" i="1"/>
  <c r="B38" i="1"/>
  <c r="E28" i="1"/>
  <c r="E39" i="1" s="1"/>
  <c r="D28" i="1"/>
  <c r="B28" i="1"/>
  <c r="E12" i="1"/>
  <c r="B12" i="1"/>
  <c r="B39" i="1" l="1"/>
  <c r="D39" i="1"/>
  <c r="F37" i="1"/>
  <c r="F23" i="1"/>
  <c r="F21" i="1"/>
  <c r="B14" i="1"/>
  <c r="B15" i="1" s="1"/>
  <c r="G37" i="1" s="1"/>
  <c r="F22" i="1"/>
  <c r="F32" i="1"/>
  <c r="F19" i="1"/>
  <c r="F36" i="1"/>
  <c r="F33" i="1"/>
  <c r="F34" i="1"/>
  <c r="F35" i="1"/>
  <c r="F24" i="1"/>
  <c r="F26" i="1"/>
  <c r="F30" i="1"/>
  <c r="F29" i="1"/>
  <c r="F31" i="1"/>
  <c r="F25" i="1"/>
  <c r="F27" i="1"/>
  <c r="F20" i="1"/>
  <c r="H37" i="1" l="1"/>
  <c r="J37" i="1"/>
  <c r="K37" i="1"/>
  <c r="I37" i="1"/>
  <c r="J23" i="1"/>
  <c r="H23" i="1"/>
  <c r="J21" i="1"/>
  <c r="H21" i="1"/>
  <c r="J22" i="1"/>
  <c r="H22" i="1"/>
  <c r="J32" i="1"/>
  <c r="H32" i="1"/>
  <c r="J19" i="1"/>
  <c r="H19" i="1"/>
  <c r="J36" i="1"/>
  <c r="H36" i="1"/>
  <c r="J33" i="1"/>
  <c r="H33" i="1"/>
  <c r="J34" i="1"/>
  <c r="H34" i="1"/>
  <c r="J35" i="1"/>
  <c r="H35" i="1"/>
  <c r="J24" i="1"/>
  <c r="H24" i="1"/>
  <c r="J26" i="1"/>
  <c r="H26" i="1"/>
  <c r="J30" i="1"/>
  <c r="H30" i="1"/>
  <c r="J29" i="1"/>
  <c r="H29" i="1"/>
  <c r="J31" i="1"/>
  <c r="H31" i="1"/>
  <c r="J25" i="1"/>
  <c r="H25" i="1"/>
  <c r="J27" i="1"/>
  <c r="H27" i="1"/>
  <c r="J20" i="1"/>
  <c r="H20" i="1"/>
  <c r="G29" i="1"/>
  <c r="G19" i="1"/>
  <c r="G31" i="1"/>
  <c r="G32" i="1"/>
  <c r="G23" i="1"/>
  <c r="G33" i="1"/>
  <c r="G27" i="1"/>
  <c r="G30" i="1"/>
  <c r="G24" i="1"/>
  <c r="G36" i="1"/>
  <c r="G25" i="1"/>
  <c r="G21" i="1"/>
  <c r="G22" i="1"/>
  <c r="G34" i="1"/>
  <c r="G20" i="1"/>
  <c r="G35" i="1"/>
  <c r="G26" i="1"/>
  <c r="J38" i="1" l="1"/>
  <c r="H38" i="1"/>
  <c r="L37" i="1"/>
  <c r="H28" i="1"/>
  <c r="H39" i="1" s="1"/>
  <c r="J28" i="1"/>
  <c r="J39" i="1" s="1"/>
  <c r="K29" i="1"/>
  <c r="I29" i="1"/>
  <c r="K19" i="1"/>
  <c r="I19" i="1"/>
  <c r="K31" i="1"/>
  <c r="I31" i="1"/>
  <c r="L31" i="1" s="1"/>
  <c r="K32" i="1"/>
  <c r="I32" i="1"/>
  <c r="L32" i="1" s="1"/>
  <c r="K23" i="1"/>
  <c r="I23" i="1"/>
  <c r="L23" i="1" s="1"/>
  <c r="K33" i="1"/>
  <c r="I33" i="1"/>
  <c r="L33" i="1" s="1"/>
  <c r="K27" i="1"/>
  <c r="I27" i="1"/>
  <c r="L27" i="1" s="1"/>
  <c r="K30" i="1"/>
  <c r="I30" i="1"/>
  <c r="L30" i="1" s="1"/>
  <c r="K24" i="1"/>
  <c r="I24" i="1"/>
  <c r="L24" i="1" s="1"/>
  <c r="K36" i="1"/>
  <c r="I36" i="1"/>
  <c r="L36" i="1" s="1"/>
  <c r="K25" i="1"/>
  <c r="I25" i="1"/>
  <c r="L25" i="1" s="1"/>
  <c r="K21" i="1"/>
  <c r="I21" i="1"/>
  <c r="L21" i="1" s="1"/>
  <c r="K22" i="1"/>
  <c r="I22" i="1"/>
  <c r="L22" i="1" s="1"/>
  <c r="K34" i="1"/>
  <c r="I34" i="1"/>
  <c r="L34" i="1" s="1"/>
  <c r="K20" i="1"/>
  <c r="I20" i="1"/>
  <c r="L20" i="1" s="1"/>
  <c r="K35" i="1"/>
  <c r="I35" i="1"/>
  <c r="L35" i="1" s="1"/>
  <c r="K26" i="1"/>
  <c r="I26" i="1"/>
  <c r="L26" i="1" s="1"/>
  <c r="I38" i="1" l="1"/>
  <c r="K38" i="1"/>
  <c r="K28" i="1"/>
  <c r="K39" i="1" s="1"/>
  <c r="L29" i="1"/>
  <c r="L19" i="1"/>
  <c r="O20" i="1" s="1"/>
  <c r="O21" i="1" s="1"/>
  <c r="O22" i="1" s="1"/>
  <c r="O23" i="1" s="1"/>
  <c r="O24" i="1" s="1"/>
  <c r="O25" i="1" s="1"/>
  <c r="O26" i="1" s="1"/>
  <c r="O27" i="1" s="1"/>
  <c r="O29" i="1" s="1"/>
  <c r="I28" i="1"/>
  <c r="I39" i="1" s="1"/>
  <c r="O30" i="1" l="1"/>
  <c r="O28" i="1"/>
  <c r="O31" i="1" l="1"/>
  <c r="O32" i="1" l="1"/>
  <c r="O33" i="1" s="1"/>
  <c r="O34" i="1" s="1"/>
  <c r="O35" i="1" s="1"/>
  <c r="O37" i="1" l="1"/>
  <c r="O36" i="1"/>
  <c r="O38" i="1" l="1"/>
  <c r="O39" i="1" s="1"/>
</calcChain>
</file>

<file path=xl/sharedStrings.xml><?xml version="1.0" encoding="utf-8"?>
<sst xmlns="http://schemas.openxmlformats.org/spreadsheetml/2006/main" count="36" uniqueCount="33">
  <si>
    <t>A Handicap Index</t>
  </si>
  <si>
    <t>B Handicap Index</t>
  </si>
  <si>
    <t>Match Allowance %</t>
  </si>
  <si>
    <t>A Tee Slope</t>
  </si>
  <si>
    <t>B Tee Slope</t>
  </si>
  <si>
    <t>A Course Rating</t>
  </si>
  <si>
    <t>B Course Rating</t>
  </si>
  <si>
    <t>A Par</t>
  </si>
  <si>
    <t>B Par</t>
  </si>
  <si>
    <t>Same Tees? (TRUE/FALSE)</t>
  </si>
  <si>
    <t>A Course Handicap</t>
  </si>
  <si>
    <t>B Course Handicap</t>
  </si>
  <si>
    <t>Raw CHC Diff</t>
  </si>
  <si>
    <t>Allowed Diff</t>
  </si>
  <si>
    <t>Hole</t>
  </si>
  <si>
    <t>Par</t>
  </si>
  <si>
    <t>Hole HCP</t>
  </si>
  <si>
    <t>A Gross</t>
  </si>
  <si>
    <t>B Gross</t>
  </si>
  <si>
    <t>A Strokes</t>
  </si>
  <si>
    <t>B Strokes</t>
  </si>
  <si>
    <t>A Net</t>
  </si>
  <si>
    <t>B Net</t>
  </si>
  <si>
    <t>Net Par A</t>
  </si>
  <si>
    <t>Net Par B</t>
  </si>
  <si>
    <t>Hole Result</t>
  </si>
  <si>
    <t>Match (A +/-)</t>
  </si>
  <si>
    <t>Total</t>
  </si>
  <si>
    <t>Front</t>
  </si>
  <si>
    <t>Back</t>
  </si>
  <si>
    <t xml:space="preserve"> </t>
  </si>
  <si>
    <t>Player A Pts</t>
  </si>
  <si>
    <t>Player B 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</si>
</sst>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9"/>
  <sheetViews>
    <sheetView tabSelected="1" topLeftCell="A17" workbookViewId="0">
      <selection activeCell="A18" sqref="A18:N39"/>
    </sheetView>
  </sheetViews>
  <sheetFormatPr defaultRowHeight="14.5" x14ac:dyDescent="0.35"/>
  <cols>
    <col min="1" max="1" width="22.54296875" bestFit="1" customWidth="1"/>
    <col min="2" max="2" width="4.81640625" customWidth="1"/>
    <col min="3" max="3" width="6.453125" customWidth="1"/>
    <col min="4" max="4" width="7.1796875" bestFit="1" customWidth="1"/>
    <col min="5" max="5" width="7.08984375" bestFit="1" customWidth="1"/>
    <col min="6" max="7" width="7.54296875" customWidth="1"/>
    <col min="8" max="8" width="5.1796875" customWidth="1"/>
    <col min="9" max="9" width="5.26953125" bestFit="1" customWidth="1"/>
    <col min="10" max="10" width="6.36328125" customWidth="1"/>
    <col min="11" max="11" width="6.08984375" customWidth="1"/>
    <col min="12" max="14" width="7.6328125" customWidth="1"/>
    <col min="15" max="15" width="11.90625" hidden="1" customWidth="1"/>
  </cols>
  <sheetData>
    <row r="1" spans="1:15" x14ac:dyDescent="0.35">
      <c r="A1" t="s">
        <v>0</v>
      </c>
      <c r="B1">
        <v>8.4</v>
      </c>
    </row>
    <row r="2" spans="1:15" x14ac:dyDescent="0.35">
      <c r="A2" t="s">
        <v>1</v>
      </c>
      <c r="B2">
        <v>14.2</v>
      </c>
    </row>
    <row r="4" spans="1:15" x14ac:dyDescent="0.35">
      <c r="A4" t="s">
        <v>2</v>
      </c>
      <c r="B4">
        <v>1</v>
      </c>
      <c r="O4">
        <v>0.75</v>
      </c>
    </row>
    <row r="5" spans="1:15" x14ac:dyDescent="0.35">
      <c r="O5">
        <v>0.8</v>
      </c>
    </row>
    <row r="6" spans="1:15" x14ac:dyDescent="0.35">
      <c r="A6" t="s">
        <v>3</v>
      </c>
      <c r="B6">
        <v>132</v>
      </c>
      <c r="D6" t="s">
        <v>4</v>
      </c>
      <c r="E6">
        <v>125</v>
      </c>
      <c r="O6">
        <v>0.85</v>
      </c>
    </row>
    <row r="7" spans="1:15" x14ac:dyDescent="0.35">
      <c r="A7" t="s">
        <v>5</v>
      </c>
      <c r="B7">
        <v>71.599999999999994</v>
      </c>
      <c r="D7" t="s">
        <v>6</v>
      </c>
      <c r="E7">
        <v>70.2</v>
      </c>
      <c r="O7">
        <v>0.9</v>
      </c>
    </row>
    <row r="8" spans="1:15" x14ac:dyDescent="0.35">
      <c r="A8" t="s">
        <v>7</v>
      </c>
      <c r="B8">
        <v>72</v>
      </c>
      <c r="D8" t="s">
        <v>8</v>
      </c>
      <c r="E8">
        <v>72</v>
      </c>
      <c r="O8">
        <v>0.95</v>
      </c>
    </row>
    <row r="9" spans="1:15" x14ac:dyDescent="0.35">
      <c r="O9">
        <v>1</v>
      </c>
    </row>
    <row r="10" spans="1:15" x14ac:dyDescent="0.35">
      <c r="A10" t="s">
        <v>9</v>
      </c>
      <c r="B10" t="b">
        <v>1</v>
      </c>
    </row>
    <row r="12" spans="1:15" x14ac:dyDescent="0.35">
      <c r="A12" t="s">
        <v>10</v>
      </c>
      <c r="B12">
        <f>ROUND(B1*(IF(B10,B6,B6)/113)+(IF(B10,B7,B7)-IF(B10,B8,B8)),0)</f>
        <v>9</v>
      </c>
      <c r="D12" t="s">
        <v>11</v>
      </c>
      <c r="E12">
        <f>ROUND(B2*(IF(B10,B6,E6)/113)+(IF(B10,B7,E7)-IF(B10,B8,E8)),0)</f>
        <v>16</v>
      </c>
    </row>
    <row r="14" spans="1:15" x14ac:dyDescent="0.35">
      <c r="A14" t="s">
        <v>12</v>
      </c>
      <c r="B14">
        <f>ABS(B12-E12)</f>
        <v>7</v>
      </c>
    </row>
    <row r="15" spans="1:15" x14ac:dyDescent="0.35">
      <c r="A15" t="s">
        <v>13</v>
      </c>
      <c r="B15">
        <f>ROUND(B14*B4,0)</f>
        <v>7</v>
      </c>
    </row>
    <row r="17" spans="1:15" ht="15" thickBot="1" x14ac:dyDescent="0.4"/>
    <row r="18" spans="1:15" s="15" customFormat="1" ht="36" customHeight="1" x14ac:dyDescent="0.35">
      <c r="A18" s="12" t="s">
        <v>14</v>
      </c>
      <c r="B18" s="13" t="s">
        <v>15</v>
      </c>
      <c r="C18" s="13" t="s">
        <v>16</v>
      </c>
      <c r="D18" s="13" t="s">
        <v>17</v>
      </c>
      <c r="E18" s="13" t="s">
        <v>18</v>
      </c>
      <c r="F18" s="13" t="s">
        <v>19</v>
      </c>
      <c r="G18" s="13" t="s">
        <v>20</v>
      </c>
      <c r="H18" s="13" t="s">
        <v>21</v>
      </c>
      <c r="I18" s="13" t="s">
        <v>22</v>
      </c>
      <c r="J18" s="13" t="s">
        <v>23</v>
      </c>
      <c r="K18" s="13" t="s">
        <v>24</v>
      </c>
      <c r="L18" s="13" t="s">
        <v>25</v>
      </c>
      <c r="M18" s="13" t="s">
        <v>31</v>
      </c>
      <c r="N18" s="13" t="s">
        <v>32</v>
      </c>
      <c r="O18" s="14" t="s">
        <v>26</v>
      </c>
    </row>
    <row r="19" spans="1:15" s="1" customFormat="1" x14ac:dyDescent="0.35">
      <c r="A19" s="2">
        <v>1</v>
      </c>
      <c r="B19" s="3">
        <v>4</v>
      </c>
      <c r="C19" s="3">
        <v>1</v>
      </c>
      <c r="D19" s="3">
        <v>5</v>
      </c>
      <c r="E19" s="3">
        <v>6</v>
      </c>
      <c r="F19" s="3">
        <f>IF($B$12&lt;=$E$12,0,QUOTIENT($B$15,18)+IF(C19&lt;=MOD($B$15,18),1,0))</f>
        <v>0</v>
      </c>
      <c r="G19" s="3">
        <f>IF($E$12&lt;=$B$12,0,QUOTIENT($B$15,18)+IF(C19&lt;=MOD($B$15,18),1,0))</f>
        <v>1</v>
      </c>
      <c r="H19" s="3">
        <f>IF(D19="","",D19-F19)</f>
        <v>5</v>
      </c>
      <c r="I19" s="3">
        <f>IF(E19="","",E19-G19)</f>
        <v>5</v>
      </c>
      <c r="J19" s="3">
        <f>B19-F19</f>
        <v>4</v>
      </c>
      <c r="K19" s="3">
        <f>B19-G19</f>
        <v>3</v>
      </c>
      <c r="L19" s="3" t="str">
        <f>IF(OR(H19="",I19=""),"",IF(H19&lt;I19,"A",IF(I19&lt;H19,"B","Halved")))</f>
        <v>Halved</v>
      </c>
      <c r="M19" s="3">
        <f>IF(H19=I19,0.5)</f>
        <v>0.5</v>
      </c>
      <c r="N19" s="3">
        <f>IF(H19=I19,0.5)</f>
        <v>0.5</v>
      </c>
      <c r="O19" s="4">
        <f>IF(M19=0.5,0)</f>
        <v>0</v>
      </c>
    </row>
    <row r="20" spans="1:15" s="1" customFormat="1" x14ac:dyDescent="0.35">
      <c r="A20" s="2">
        <v>2</v>
      </c>
      <c r="B20" s="3">
        <v>3</v>
      </c>
      <c r="C20" s="3">
        <v>3</v>
      </c>
      <c r="D20" s="3">
        <v>5</v>
      </c>
      <c r="E20" s="3">
        <v>6</v>
      </c>
      <c r="F20" s="3">
        <f>IF($B$12&lt;=$E$12,0,QUOTIENT($B$15,18)+IF(C20&lt;=MOD($B$15,18),1,0))</f>
        <v>0</v>
      </c>
      <c r="G20" s="3">
        <f>IF($E$12&lt;=$B$12,0,QUOTIENT($B$15,18)+IF(C20&lt;=MOD($B$15,18),1,0))</f>
        <v>1</v>
      </c>
      <c r="H20" s="3">
        <f>IF(D20="","",D20-F20)</f>
        <v>5</v>
      </c>
      <c r="I20" s="3">
        <f>IF(E20="","",E20-G20)</f>
        <v>5</v>
      </c>
      <c r="J20" s="3">
        <f>B20-F20</f>
        <v>3</v>
      </c>
      <c r="K20" s="3">
        <f>B20-G20</f>
        <v>2</v>
      </c>
      <c r="L20" s="3" t="str">
        <f>IF(OR(H20="",I20=""),"",IF(H20&lt;I20,"A",IF(I20&lt;H20,"B","Halved")))</f>
        <v>Halved</v>
      </c>
      <c r="M20" s="3">
        <f>IF(H20=I20,0.5)</f>
        <v>0.5</v>
      </c>
      <c r="N20" s="3">
        <f>IF(H20=I20,0.5)</f>
        <v>0.5</v>
      </c>
      <c r="O20" s="4">
        <f>IF(L20="","",O19+IF(L20="A",1,IF(L20="B",-1,0)))</f>
        <v>0</v>
      </c>
    </row>
    <row r="21" spans="1:15" s="1" customFormat="1" x14ac:dyDescent="0.35">
      <c r="A21" s="2">
        <v>3</v>
      </c>
      <c r="B21" s="3">
        <v>5</v>
      </c>
      <c r="C21" s="3">
        <v>5</v>
      </c>
      <c r="D21" s="3">
        <v>5</v>
      </c>
      <c r="E21" s="3">
        <v>4</v>
      </c>
      <c r="F21" s="3">
        <f>IF($B$12&lt;=$E$12,0,QUOTIENT($B$15,18)+IF(C21&lt;=MOD($B$15,18),1,0))</f>
        <v>0</v>
      </c>
      <c r="G21" s="3">
        <f>IF($E$12&lt;=$B$12,0,QUOTIENT($B$15,18)+IF(C21&lt;=MOD($B$15,18),1,0))</f>
        <v>1</v>
      </c>
      <c r="H21" s="3">
        <f>IF(D21="","",D21-F21)</f>
        <v>5</v>
      </c>
      <c r="I21" s="3">
        <f>IF(E21="","",E21-G21)</f>
        <v>3</v>
      </c>
      <c r="J21" s="3">
        <f>B21-F21</f>
        <v>5</v>
      </c>
      <c r="K21" s="3">
        <f>B21-G21</f>
        <v>4</v>
      </c>
      <c r="L21" s="3" t="str">
        <f>IF(OR(H21="",I21=""),"",IF(H21&lt;I21,"A",IF(I21&lt;H21,"B","Halved")))</f>
        <v>B</v>
      </c>
      <c r="M21" s="3">
        <f>IF(H21&lt;I21,1,0)</f>
        <v>0</v>
      </c>
      <c r="N21" s="3">
        <f>IF(H21&lt;I21,0,1)</f>
        <v>1</v>
      </c>
      <c r="O21" s="4">
        <f>IF(L21="","",O20+IF(L21="A",1,IF(L21="B",-1,0)))</f>
        <v>-1</v>
      </c>
    </row>
    <row r="22" spans="1:15" s="1" customFormat="1" x14ac:dyDescent="0.35">
      <c r="A22" s="2">
        <v>4</v>
      </c>
      <c r="B22" s="3">
        <v>4</v>
      </c>
      <c r="C22" s="3">
        <v>7</v>
      </c>
      <c r="D22" s="3">
        <v>5</v>
      </c>
      <c r="E22" s="3">
        <v>5</v>
      </c>
      <c r="F22" s="3">
        <f>IF($B$12&lt;=$E$12,0,QUOTIENT($B$15,18)+IF(C22&lt;=MOD($B$15,18),1,0))</f>
        <v>0</v>
      </c>
      <c r="G22" s="3">
        <f>IF($E$12&lt;=$B$12,0,QUOTIENT($B$15,18)+IF(C22&lt;=MOD($B$15,18),1,0))</f>
        <v>1</v>
      </c>
      <c r="H22" s="3">
        <f>IF(D22="","",D22-F22)</f>
        <v>5</v>
      </c>
      <c r="I22" s="3">
        <f>IF(E22="","",E22-G22)</f>
        <v>4</v>
      </c>
      <c r="J22" s="3">
        <f>B22-F22</f>
        <v>4</v>
      </c>
      <c r="K22" s="3">
        <f>B22-G22</f>
        <v>3</v>
      </c>
      <c r="L22" s="3" t="str">
        <f>IF(OR(H22="",I22=""),"",IF(H22&lt;I22,"A",IF(I22&lt;H22,"B","Halved")))</f>
        <v>B</v>
      </c>
      <c r="M22" s="3">
        <f>IF(H22&lt;I22,1,0)</f>
        <v>0</v>
      </c>
      <c r="N22" s="3">
        <f>IF(H22&lt;I22,0,1)</f>
        <v>1</v>
      </c>
      <c r="O22" s="4">
        <f>IF(L22="","",O21+IF(L22="A",1,IF(L22="B",-1,0)))</f>
        <v>-2</v>
      </c>
    </row>
    <row r="23" spans="1:15" s="1" customFormat="1" x14ac:dyDescent="0.35">
      <c r="A23" s="2">
        <v>5</v>
      </c>
      <c r="B23" s="3">
        <v>4</v>
      </c>
      <c r="C23" s="3">
        <v>9</v>
      </c>
      <c r="D23" s="3">
        <v>5</v>
      </c>
      <c r="E23" s="3">
        <v>6</v>
      </c>
      <c r="F23" s="3">
        <f>IF($B$12&lt;=$E$12,0,QUOTIENT($B$15,18)+IF(C23&lt;=MOD($B$15,18),1,0))</f>
        <v>0</v>
      </c>
      <c r="G23" s="3">
        <f>IF($E$12&lt;=$B$12,0,QUOTIENT($B$15,18)+IF(C23&lt;=MOD($B$15,18),1,0))</f>
        <v>0</v>
      </c>
      <c r="H23" s="3">
        <f>IF(D23="","",D23-F23)</f>
        <v>5</v>
      </c>
      <c r="I23" s="3">
        <f>IF(E23="","",E23-G23)</f>
        <v>6</v>
      </c>
      <c r="J23" s="3">
        <f>B23-F23</f>
        <v>4</v>
      </c>
      <c r="K23" s="3">
        <f>B23-G23</f>
        <v>4</v>
      </c>
      <c r="L23" s="3" t="str">
        <f>IF(OR(H23="",I23=""),"",IF(H23&lt;I23,"A",IF(I23&lt;H23,"B","Halved")))</f>
        <v>A</v>
      </c>
      <c r="M23" s="3">
        <f>IF(H23&lt;I23,1,0)</f>
        <v>1</v>
      </c>
      <c r="N23" s="3">
        <f>IF(H23&lt;I23,0,1)</f>
        <v>0</v>
      </c>
      <c r="O23" s="4">
        <f>IF(L23="","",O22+IF(L23="A",1,IF(L23="B",-1,0)))</f>
        <v>-1</v>
      </c>
    </row>
    <row r="24" spans="1:15" s="1" customFormat="1" x14ac:dyDescent="0.35">
      <c r="A24" s="2">
        <v>6</v>
      </c>
      <c r="B24" s="3">
        <v>3</v>
      </c>
      <c r="C24" s="3">
        <v>11</v>
      </c>
      <c r="D24" s="3">
        <v>5</v>
      </c>
      <c r="E24" s="3">
        <v>5</v>
      </c>
      <c r="F24" s="3">
        <f>IF($B$12&lt;=$E$12,0,QUOTIENT($B$15,18)+IF(C24&lt;=MOD($B$15,18),1,0))</f>
        <v>0</v>
      </c>
      <c r="G24" s="3">
        <f>IF($E$12&lt;=$B$12,0,QUOTIENT($B$15,18)+IF(C24&lt;=MOD($B$15,18),1,0))</f>
        <v>0</v>
      </c>
      <c r="H24" s="3">
        <f>IF(D24="","",D24-F24)</f>
        <v>5</v>
      </c>
      <c r="I24" s="3">
        <f>IF(E24="","",E24-G24)</f>
        <v>5</v>
      </c>
      <c r="J24" s="3">
        <f>B24-F24</f>
        <v>3</v>
      </c>
      <c r="K24" s="3">
        <f>B24-G24</f>
        <v>3</v>
      </c>
      <c r="L24" s="3" t="str">
        <f>IF(OR(H24="",I24=""),"",IF(H24&lt;I24,"A",IF(I24&lt;H24,"B","Halved")))</f>
        <v>Halved</v>
      </c>
      <c r="M24" s="3">
        <f>IF(H24=I24,0.5)</f>
        <v>0.5</v>
      </c>
      <c r="N24" s="3">
        <f>IF(H24=I24,0.5)</f>
        <v>0.5</v>
      </c>
      <c r="O24" s="4">
        <f>IF(L24="","",O23+IF(L24="A",1,IF(L24="B",-1,0)))</f>
        <v>-1</v>
      </c>
    </row>
    <row r="25" spans="1:15" s="1" customFormat="1" x14ac:dyDescent="0.35">
      <c r="A25" s="2">
        <v>7</v>
      </c>
      <c r="B25" s="3">
        <v>5</v>
      </c>
      <c r="C25" s="3">
        <v>13</v>
      </c>
      <c r="D25" s="3">
        <v>5</v>
      </c>
      <c r="E25" s="3">
        <v>6</v>
      </c>
      <c r="F25" s="3">
        <f>IF($B$12&lt;=$E$12,0,QUOTIENT($B$15,18)+IF(C25&lt;=MOD($B$15,18),1,0))</f>
        <v>0</v>
      </c>
      <c r="G25" s="3">
        <f>IF($E$12&lt;=$B$12,0,QUOTIENT($B$15,18)+IF(C25&lt;=MOD($B$15,18),1,0))</f>
        <v>0</v>
      </c>
      <c r="H25" s="3">
        <f>IF(D25="","",D25-F25)</f>
        <v>5</v>
      </c>
      <c r="I25" s="3">
        <f>IF(E25="","",E25-G25)</f>
        <v>6</v>
      </c>
      <c r="J25" s="3">
        <f>B25-F25</f>
        <v>5</v>
      </c>
      <c r="K25" s="3">
        <f>B25-G25</f>
        <v>5</v>
      </c>
      <c r="L25" s="3" t="str">
        <f>IF(OR(H25="",I25=""),"",IF(H25&lt;I25,"A",IF(I25&lt;H25,"B","Halved")))</f>
        <v>A</v>
      </c>
      <c r="M25" s="3">
        <f>IF(H25&lt;I25,1,0)</f>
        <v>1</v>
      </c>
      <c r="N25" s="3">
        <f>IF(H25&lt;I25,0,1)</f>
        <v>0</v>
      </c>
      <c r="O25" s="4">
        <f>IF(L25="","",O24+IF(L25="A",1,IF(L25="B",-1,0)))</f>
        <v>0</v>
      </c>
    </row>
    <row r="26" spans="1:15" s="1" customFormat="1" x14ac:dyDescent="0.35">
      <c r="A26" s="2">
        <v>8</v>
      </c>
      <c r="B26" s="3">
        <v>4</v>
      </c>
      <c r="C26" s="3">
        <v>15</v>
      </c>
      <c r="D26" s="3">
        <v>5</v>
      </c>
      <c r="E26" s="3">
        <v>6</v>
      </c>
      <c r="F26" s="3">
        <f>IF($B$12&lt;=$E$12,0,QUOTIENT($B$15,18)+IF(C26&lt;=MOD($B$15,18),1,0))</f>
        <v>0</v>
      </c>
      <c r="G26" s="3">
        <f>IF($E$12&lt;=$B$12,0,QUOTIENT($B$15,18)+IF(C26&lt;=MOD($B$15,18),1,0))</f>
        <v>0</v>
      </c>
      <c r="H26" s="3">
        <f>IF(D26="","",D26-F26)</f>
        <v>5</v>
      </c>
      <c r="I26" s="3">
        <f>IF(E26="","",E26-G26)</f>
        <v>6</v>
      </c>
      <c r="J26" s="3">
        <f>B26-F26</f>
        <v>4</v>
      </c>
      <c r="K26" s="3">
        <f>B26-G26</f>
        <v>4</v>
      </c>
      <c r="L26" s="3" t="str">
        <f>IF(OR(H26="",I26=""),"",IF(H26&lt;I26,"A",IF(I26&lt;H26,"B","Halved")))</f>
        <v>A</v>
      </c>
      <c r="M26" s="3">
        <f>IF(H26&lt;I26,1,0)</f>
        <v>1</v>
      </c>
      <c r="N26" s="3">
        <f>IF(H26&lt;I26,0,1)</f>
        <v>0</v>
      </c>
      <c r="O26" s="4">
        <f>IF(L26="","",O25+IF(L26="A",1,IF(L26="B",-1,0)))</f>
        <v>1</v>
      </c>
    </row>
    <row r="27" spans="1:15" s="1" customFormat="1" ht="15" thickBot="1" x14ac:dyDescent="0.4">
      <c r="A27" s="2">
        <v>9</v>
      </c>
      <c r="B27" s="3">
        <v>4</v>
      </c>
      <c r="C27" s="3">
        <v>17</v>
      </c>
      <c r="D27" s="3">
        <v>5</v>
      </c>
      <c r="E27" s="3">
        <v>4</v>
      </c>
      <c r="F27" s="3">
        <f>IF($B$12&lt;=$E$12,0,QUOTIENT($B$15,18)+IF(C27&lt;=MOD($B$15,18),1,0))</f>
        <v>0</v>
      </c>
      <c r="G27" s="3">
        <f>IF($E$12&lt;=$B$12,0,QUOTIENT($B$15,18)+IF(C27&lt;=MOD($B$15,18),1,0))</f>
        <v>0</v>
      </c>
      <c r="H27" s="3">
        <f>IF(D27="","",D27-F27)</f>
        <v>5</v>
      </c>
      <c r="I27" s="3">
        <f>IF(E27="","",E27-G27)</f>
        <v>4</v>
      </c>
      <c r="J27" s="3">
        <f>B27-F27</f>
        <v>4</v>
      </c>
      <c r="K27" s="3">
        <f>B27-G27</f>
        <v>4</v>
      </c>
      <c r="L27" s="3" t="str">
        <f>IF(OR(H27="",I27=""),"",IF(H27&lt;I27,"A",IF(I27&lt;H27,"B","Halved")))</f>
        <v>B</v>
      </c>
      <c r="M27" s="3">
        <f>IF(H27&lt;I27,1,0)</f>
        <v>0</v>
      </c>
      <c r="N27" s="3">
        <f>IF(H27&lt;I27,0,1)</f>
        <v>1</v>
      </c>
      <c r="O27" s="4">
        <f>IF(L27="","",O26+IF(L27="A",1,IF(L27="B",-1,0)))</f>
        <v>0</v>
      </c>
    </row>
    <row r="28" spans="1:15" s="1" customFormat="1" ht="15" thickBot="1" x14ac:dyDescent="0.4">
      <c r="A28" s="8" t="s">
        <v>28</v>
      </c>
      <c r="B28" s="9">
        <f>SUM(B19:B27)</f>
        <v>36</v>
      </c>
      <c r="C28" s="9"/>
      <c r="D28" s="9">
        <f>SUM(D19:D27)</f>
        <v>45</v>
      </c>
      <c r="E28" s="9">
        <f>SUM(E19:E27)</f>
        <v>48</v>
      </c>
      <c r="F28" s="9"/>
      <c r="G28" s="9"/>
      <c r="H28" s="9">
        <f>SUM(H19:H27)</f>
        <v>45</v>
      </c>
      <c r="I28" s="9">
        <f>SUM(I19:I27)</f>
        <v>44</v>
      </c>
      <c r="J28" s="9">
        <f>SUM(J19:J27)</f>
        <v>36</v>
      </c>
      <c r="K28" s="9">
        <f>SUM(K19:K27)</f>
        <v>32</v>
      </c>
      <c r="L28" s="9" t="s">
        <v>27</v>
      </c>
      <c r="M28" s="9"/>
      <c r="N28" s="9"/>
      <c r="O28" s="10">
        <f>SUM(O19:O27)</f>
        <v>-4</v>
      </c>
    </row>
    <row r="29" spans="1:15" s="1" customFormat="1" x14ac:dyDescent="0.35">
      <c r="A29" s="2">
        <v>10</v>
      </c>
      <c r="B29" s="3">
        <v>4</v>
      </c>
      <c r="C29" s="3">
        <v>2</v>
      </c>
      <c r="D29" s="3">
        <v>5</v>
      </c>
      <c r="E29" s="3">
        <v>6</v>
      </c>
      <c r="F29" s="3">
        <f>IF($B$12&lt;=$E$12,0,QUOTIENT($B$15,18)+IF(C29&lt;=MOD($B$15,18),1,0))</f>
        <v>0</v>
      </c>
      <c r="G29" s="3">
        <f>IF($E$12&lt;=$B$12,0,QUOTIENT($B$15,18)+IF(C29&lt;=MOD($B$15,18),1,0))</f>
        <v>1</v>
      </c>
      <c r="H29" s="3">
        <f>IF(D29="","",D29-F29)</f>
        <v>5</v>
      </c>
      <c r="I29" s="3">
        <f>IF(E29="","",E29-G29)</f>
        <v>5</v>
      </c>
      <c r="J29" s="3">
        <f>B29-F29</f>
        <v>4</v>
      </c>
      <c r="K29" s="3">
        <f>B29-G29</f>
        <v>3</v>
      </c>
      <c r="L29" s="3" t="str">
        <f>IF(OR(H29="",I29=""),"",IF(H29&lt;I29,"A",IF(I29&lt;H29,"B","Halved")))</f>
        <v>Halved</v>
      </c>
      <c r="M29" s="3">
        <f>IF(H29=I29,0.5)</f>
        <v>0.5</v>
      </c>
      <c r="N29" s="3">
        <f>IF(H29=I29,0.5)</f>
        <v>0.5</v>
      </c>
      <c r="O29" s="4">
        <f>IF(L29="","",O27+IF(L29="A",1,IF(L29="B",-1,0)))</f>
        <v>0</v>
      </c>
    </row>
    <row r="30" spans="1:15" s="1" customFormat="1" x14ac:dyDescent="0.35">
      <c r="A30" s="2">
        <v>11</v>
      </c>
      <c r="B30" s="3">
        <v>3</v>
      </c>
      <c r="C30" s="3">
        <v>4</v>
      </c>
      <c r="D30" s="3">
        <v>5</v>
      </c>
      <c r="E30" s="3">
        <v>4</v>
      </c>
      <c r="F30" s="3">
        <f>IF($B$12&lt;=$E$12,0,QUOTIENT($B$15,18)+IF(C30&lt;=MOD($B$15,18),1,0))</f>
        <v>0</v>
      </c>
      <c r="G30" s="3">
        <f>IF($E$12&lt;=$B$12,0,QUOTIENT($B$15,18)+IF(C30&lt;=MOD($B$15,18),1,0))</f>
        <v>1</v>
      </c>
      <c r="H30" s="3">
        <f>IF(D30="","",D30-F30)</f>
        <v>5</v>
      </c>
      <c r="I30" s="3">
        <f>IF(E30="","",E30-G30)</f>
        <v>3</v>
      </c>
      <c r="J30" s="3">
        <f>B30-F30</f>
        <v>3</v>
      </c>
      <c r="K30" s="3">
        <f>B30-G30</f>
        <v>2</v>
      </c>
      <c r="L30" s="3" t="str">
        <f>IF(OR(H30="",I30=""),"",IF(H30&lt;I30,"A",IF(I30&lt;H30,"B","Halved")))</f>
        <v>B</v>
      </c>
      <c r="M30" s="3">
        <f>IF(H30&lt;I30,1,0)</f>
        <v>0</v>
      </c>
      <c r="N30" s="3">
        <f>IF(H30&lt;I30,0,1)</f>
        <v>1</v>
      </c>
      <c r="O30" s="4">
        <f>IF(L30="","",O29+IF(L30="A",1,IF(L30="B",-1,0)))</f>
        <v>-1</v>
      </c>
    </row>
    <row r="31" spans="1:15" s="1" customFormat="1" x14ac:dyDescent="0.35">
      <c r="A31" s="2">
        <v>12</v>
      </c>
      <c r="B31" s="3">
        <v>5</v>
      </c>
      <c r="C31" s="3">
        <v>6</v>
      </c>
      <c r="D31" s="3">
        <v>5</v>
      </c>
      <c r="E31" s="3">
        <v>5</v>
      </c>
      <c r="F31" s="3">
        <f>IF($B$12&lt;=$E$12,0,QUOTIENT($B$15,18)+IF(C31&lt;=MOD($B$15,18),1,0))</f>
        <v>0</v>
      </c>
      <c r="G31" s="3">
        <f>IF($E$12&lt;=$B$12,0,QUOTIENT($B$15,18)+IF(C31&lt;=MOD($B$15,18),1,0))</f>
        <v>1</v>
      </c>
      <c r="H31" s="3">
        <f>IF(D31="","",D31-F31)</f>
        <v>5</v>
      </c>
      <c r="I31" s="3">
        <f>IF(E31="","",E31-G31)</f>
        <v>4</v>
      </c>
      <c r="J31" s="3">
        <f>B31-F31</f>
        <v>5</v>
      </c>
      <c r="K31" s="3">
        <f>B31-G31</f>
        <v>4</v>
      </c>
      <c r="L31" s="3" t="str">
        <f>IF(OR(H31="",I31=""),"",IF(H31&lt;I31,"A",IF(I31&lt;H31,"B","Halved")))</f>
        <v>B</v>
      </c>
      <c r="M31" s="3">
        <f>IF(H31&lt;I31,1,0)</f>
        <v>0</v>
      </c>
      <c r="N31" s="3">
        <f>IF(H31&lt;I31,0,1)</f>
        <v>1</v>
      </c>
      <c r="O31" s="4">
        <f>IF(L31="","",O30+IF(L31="A",1,IF(L31="B",-1,0)))</f>
        <v>-2</v>
      </c>
    </row>
    <row r="32" spans="1:15" s="1" customFormat="1" x14ac:dyDescent="0.35">
      <c r="A32" s="2">
        <v>13</v>
      </c>
      <c r="B32" s="3">
        <v>4</v>
      </c>
      <c r="C32" s="3">
        <v>8</v>
      </c>
      <c r="D32" s="3">
        <v>5</v>
      </c>
      <c r="E32" s="3">
        <v>6</v>
      </c>
      <c r="F32" s="3">
        <f>IF($B$12&lt;=$E$12,0,QUOTIENT($B$15,18)+IF(C32&lt;=MOD($B$15,18),1,0))</f>
        <v>0</v>
      </c>
      <c r="G32" s="3">
        <f>IF($E$12&lt;=$B$12,0,QUOTIENT($B$15,18)+IF(C32&lt;=MOD($B$15,18),1,0))</f>
        <v>0</v>
      </c>
      <c r="H32" s="3">
        <f>IF(D32="","",D32-F32)</f>
        <v>5</v>
      </c>
      <c r="I32" s="3">
        <f>IF(E32="","",E32-G32)</f>
        <v>6</v>
      </c>
      <c r="J32" s="3">
        <f>B32-F32</f>
        <v>4</v>
      </c>
      <c r="K32" s="3">
        <f>B32-G32</f>
        <v>4</v>
      </c>
      <c r="L32" s="3" t="str">
        <f>IF(OR(H32="",I32=""),"",IF(H32&lt;I32,"A",IF(I32&lt;H32,"B","Halved")))</f>
        <v>A</v>
      </c>
      <c r="M32" s="3">
        <f>IF(H32&lt;I32,1,0)</f>
        <v>1</v>
      </c>
      <c r="N32" s="3">
        <f>IF(H32&lt;I32,0,1)</f>
        <v>0</v>
      </c>
      <c r="O32" s="4">
        <f>IF(L32="","",O31+IF(L32="A",1,IF(L32="B",-1,0)))</f>
        <v>-1</v>
      </c>
    </row>
    <row r="33" spans="1:16" s="1" customFormat="1" x14ac:dyDescent="0.35">
      <c r="A33" s="2">
        <v>14</v>
      </c>
      <c r="B33" s="3">
        <v>4</v>
      </c>
      <c r="C33" s="3">
        <v>10</v>
      </c>
      <c r="D33" s="3">
        <v>5</v>
      </c>
      <c r="E33" s="3">
        <v>5</v>
      </c>
      <c r="F33" s="3">
        <f>IF($B$12&lt;=$E$12,0,QUOTIENT($B$15,18)+IF(C33&lt;=MOD($B$15,18),1,0))</f>
        <v>0</v>
      </c>
      <c r="G33" s="3">
        <f>IF($E$12&lt;=$B$12,0,QUOTIENT($B$15,18)+IF(C33&lt;=MOD($B$15,18),1,0))</f>
        <v>0</v>
      </c>
      <c r="H33" s="3">
        <f>IF(D33="","",D33-F33)</f>
        <v>5</v>
      </c>
      <c r="I33" s="3">
        <f>IF(E33="","",E33-G33)</f>
        <v>5</v>
      </c>
      <c r="J33" s="3">
        <f>B33-F33</f>
        <v>4</v>
      </c>
      <c r="K33" s="3">
        <f>B33-G33</f>
        <v>4</v>
      </c>
      <c r="L33" s="3" t="str">
        <f>IF(OR(H33="",I33=""),"",IF(H33&lt;I33,"A",IF(I33&lt;H33,"B","Halved")))</f>
        <v>Halved</v>
      </c>
      <c r="M33" s="3">
        <f>IF(H33=I33,0.5)</f>
        <v>0.5</v>
      </c>
      <c r="N33" s="3">
        <f>IF(H33=I33,0.5)</f>
        <v>0.5</v>
      </c>
      <c r="O33" s="4">
        <f>IF(L33="","",O32+IF(L33="A",1,IF(L33="B",-1,0)))</f>
        <v>-1</v>
      </c>
    </row>
    <row r="34" spans="1:16" s="1" customFormat="1" x14ac:dyDescent="0.35">
      <c r="A34" s="2">
        <v>15</v>
      </c>
      <c r="B34" s="3">
        <v>5</v>
      </c>
      <c r="C34" s="3">
        <v>12</v>
      </c>
      <c r="D34" s="3">
        <v>5</v>
      </c>
      <c r="E34" s="3">
        <v>6</v>
      </c>
      <c r="F34" s="3">
        <f>IF($B$12&lt;=$E$12,0,QUOTIENT($B$15,18)+IF(C34&lt;=MOD($B$15,18),1,0))</f>
        <v>0</v>
      </c>
      <c r="G34" s="3">
        <f>IF($E$12&lt;=$B$12,0,QUOTIENT($B$15,18)+IF(C34&lt;=MOD($B$15,18),1,0))</f>
        <v>0</v>
      </c>
      <c r="H34" s="3">
        <f>IF(D34="","",D34-F34)</f>
        <v>5</v>
      </c>
      <c r="I34" s="3">
        <f>IF(E34="","",E34-G34)</f>
        <v>6</v>
      </c>
      <c r="J34" s="3">
        <f>B34-F34</f>
        <v>5</v>
      </c>
      <c r="K34" s="3">
        <f>B34-G34</f>
        <v>5</v>
      </c>
      <c r="L34" s="3" t="str">
        <f>IF(OR(H34="",I34=""),"",IF(H34&lt;I34,"A",IF(I34&lt;H34,"B","Halved")))</f>
        <v>A</v>
      </c>
      <c r="M34" s="3">
        <f>IF(H34&lt;I34,1,0)</f>
        <v>1</v>
      </c>
      <c r="N34" s="3">
        <f>IF(H34&lt;I34,0,1)</f>
        <v>0</v>
      </c>
      <c r="O34" s="4">
        <f>IF(L34="","",O33+IF(L34="A",1,IF(L34="B",-1,0)))</f>
        <v>0</v>
      </c>
    </row>
    <row r="35" spans="1:16" s="1" customFormat="1" x14ac:dyDescent="0.35">
      <c r="A35" s="2">
        <v>16</v>
      </c>
      <c r="B35" s="3">
        <v>3</v>
      </c>
      <c r="C35" s="3">
        <v>14</v>
      </c>
      <c r="D35" s="3">
        <v>5</v>
      </c>
      <c r="E35" s="3">
        <v>5</v>
      </c>
      <c r="F35" s="3">
        <f>IF($B$12&lt;=$E$12,0,QUOTIENT($B$15,18)+IF(C35&lt;=MOD($B$15,18),1,0))</f>
        <v>0</v>
      </c>
      <c r="G35" s="3">
        <f>IF($E$12&lt;=$B$12,0,QUOTIENT($B$15,18)+IF(C35&lt;=MOD($B$15,18),1,0))</f>
        <v>0</v>
      </c>
      <c r="H35" s="3">
        <f>IF(D35="","",D35-F35)</f>
        <v>5</v>
      </c>
      <c r="I35" s="3">
        <f>IF(E35="","",E35-G35)</f>
        <v>5</v>
      </c>
      <c r="J35" s="3">
        <f>B35-F35</f>
        <v>3</v>
      </c>
      <c r="K35" s="3">
        <f>B35-G35</f>
        <v>3</v>
      </c>
      <c r="L35" s="3" t="str">
        <f>IF(OR(H35="",I35=""),"",IF(H35&lt;I35,"A",IF(I35&lt;H35,"B","Halved")))</f>
        <v>Halved</v>
      </c>
      <c r="M35" s="3">
        <f>IF(H35=I35,0.5)</f>
        <v>0.5</v>
      </c>
      <c r="N35" s="3">
        <f>IF(H35=I35,0.5)</f>
        <v>0.5</v>
      </c>
      <c r="O35" s="4">
        <f>IF(L35="","",O34+IF(L35="A",1,IF(L35="B",-1,0)))</f>
        <v>0</v>
      </c>
    </row>
    <row r="36" spans="1:16" s="1" customFormat="1" x14ac:dyDescent="0.35">
      <c r="A36" s="2">
        <v>17</v>
      </c>
      <c r="B36" s="3">
        <v>4</v>
      </c>
      <c r="C36" s="3">
        <v>16</v>
      </c>
      <c r="D36" s="3">
        <v>5</v>
      </c>
      <c r="E36" s="3">
        <v>4</v>
      </c>
      <c r="F36" s="3">
        <f>IF($B$12&lt;=$E$12,0,QUOTIENT($B$15,18)+IF(C36&lt;=MOD($B$15,18),1,0))</f>
        <v>0</v>
      </c>
      <c r="G36" s="3">
        <f>IF($E$12&lt;=$B$12,0,QUOTIENT($B$15,18)+IF(C36&lt;=MOD($B$15,18),1,0))</f>
        <v>0</v>
      </c>
      <c r="H36" s="3">
        <f>IF(D36="","",D36-F36)</f>
        <v>5</v>
      </c>
      <c r="I36" s="3">
        <f>IF(E36="","",E36-G36)</f>
        <v>4</v>
      </c>
      <c r="J36" s="3">
        <f>B36-F36</f>
        <v>4</v>
      </c>
      <c r="K36" s="3">
        <f>B36-G36</f>
        <v>4</v>
      </c>
      <c r="L36" s="3" t="str">
        <f>IF(OR(H36="",I36=""),"",IF(H36&lt;I36,"A",IF(I36&lt;H36,"B","Halved")))</f>
        <v>B</v>
      </c>
      <c r="M36" s="3">
        <f>IF(H36&lt;I36,1,0)</f>
        <v>0</v>
      </c>
      <c r="N36" s="3">
        <f>IF(H36&lt;I36,0,1)</f>
        <v>1</v>
      </c>
      <c r="O36" s="4">
        <f>IF(L36="","",O35+IF(L36="A",1,IF(L36="B",-1,0)))</f>
        <v>-1</v>
      </c>
    </row>
    <row r="37" spans="1:16" s="1" customFormat="1" ht="15" thickBot="1" x14ac:dyDescent="0.4">
      <c r="A37" s="5">
        <v>18</v>
      </c>
      <c r="B37" s="6">
        <v>4</v>
      </c>
      <c r="C37" s="6">
        <v>18</v>
      </c>
      <c r="D37" s="6">
        <v>5</v>
      </c>
      <c r="E37" s="6">
        <v>5</v>
      </c>
      <c r="F37" s="6">
        <f>IF($B$12&lt;=$E$12,0,QUOTIENT($B$15,18)+IF(C37&lt;=MOD($B$15,18),1,0))</f>
        <v>0</v>
      </c>
      <c r="G37" s="6">
        <f>IF($E$12&lt;=$B$12,0,QUOTIENT($B$15,18)+IF(C37&lt;=MOD($B$15,18),1,0))</f>
        <v>0</v>
      </c>
      <c r="H37" s="6">
        <f>IF(D37="","",D37-F37)</f>
        <v>5</v>
      </c>
      <c r="I37" s="6">
        <f>IF(E37="","",E37-G37)</f>
        <v>5</v>
      </c>
      <c r="J37" s="6">
        <f>B37-F37</f>
        <v>4</v>
      </c>
      <c r="K37" s="6">
        <f>B37-G37</f>
        <v>4</v>
      </c>
      <c r="L37" s="6" t="str">
        <f>IF(OR(H37="",I37=""),"",IF(H37&lt;I37,"A",IF(I37&lt;H37,"B","Halved")))</f>
        <v>Halved</v>
      </c>
      <c r="M37" s="3">
        <f>IF(H37=I37,0.5)</f>
        <v>0.5</v>
      </c>
      <c r="N37" s="3">
        <f>IF(H37=I37,0.5)</f>
        <v>0.5</v>
      </c>
      <c r="O37" s="7">
        <f>IF(L37="","",O35+IF(L37="A",1,IF(L37="B",-1,0)))</f>
        <v>0</v>
      </c>
    </row>
    <row r="38" spans="1:16" s="1" customFormat="1" ht="15" thickBot="1" x14ac:dyDescent="0.4">
      <c r="A38" s="8" t="s">
        <v>29</v>
      </c>
      <c r="B38" s="9">
        <f>SUM(B29:B37)</f>
        <v>36</v>
      </c>
      <c r="C38" s="9"/>
      <c r="D38" s="9">
        <f>SUM(D29:D37)</f>
        <v>45</v>
      </c>
      <c r="E38" s="9">
        <f>SUM(E29:E37)</f>
        <v>46</v>
      </c>
      <c r="F38" s="9"/>
      <c r="G38" s="9"/>
      <c r="H38" s="9">
        <f>SUM(H29:H37)</f>
        <v>45</v>
      </c>
      <c r="I38" s="9">
        <f>SUM(I29:I37)</f>
        <v>43</v>
      </c>
      <c r="J38" s="9">
        <f>SUM(J29:J37)</f>
        <v>36</v>
      </c>
      <c r="K38" s="9">
        <f>SUM(K29:K37)</f>
        <v>33</v>
      </c>
      <c r="L38" s="9" t="s">
        <v>27</v>
      </c>
      <c r="M38" s="9">
        <f>SUM(M29:M37)</f>
        <v>4</v>
      </c>
      <c r="N38" s="9">
        <f>SUM(N29:N37)</f>
        <v>5</v>
      </c>
      <c r="O38" s="10">
        <f>SUM(O29:O37)</f>
        <v>-6</v>
      </c>
      <c r="P38" s="11"/>
    </row>
    <row r="39" spans="1:16" s="1" customFormat="1" ht="15" thickBot="1" x14ac:dyDescent="0.4">
      <c r="A39" s="8" t="s">
        <v>27</v>
      </c>
      <c r="B39" s="9">
        <f>SUM(B28+B38)</f>
        <v>72</v>
      </c>
      <c r="C39" s="9" t="s">
        <v>30</v>
      </c>
      <c r="D39" s="9">
        <f>SUM(D28+D38)</f>
        <v>90</v>
      </c>
      <c r="E39" s="9">
        <f>SUM(E28+E38)</f>
        <v>94</v>
      </c>
      <c r="F39" s="9"/>
      <c r="G39" s="9"/>
      <c r="H39" s="9">
        <f>SUM(H28+H38)</f>
        <v>90</v>
      </c>
      <c r="I39" s="9">
        <f>SUM(I28+I38)</f>
        <v>87</v>
      </c>
      <c r="J39" s="9">
        <f>SUM(J28+J38)</f>
        <v>72</v>
      </c>
      <c r="K39" s="9">
        <f>SUM(K28+K38)</f>
        <v>65</v>
      </c>
      <c r="L39" s="9" t="s">
        <v>27</v>
      </c>
      <c r="M39" s="9"/>
      <c r="N39" s="9"/>
      <c r="O39" s="10">
        <f>SUM(O28+O38)</f>
        <v>-10</v>
      </c>
      <c r="P39" s="11"/>
    </row>
  </sheetData>
  <dataValidations count="1">
    <dataValidation type="list" sqref="B4" xr:uid="{00000000-0002-0000-0000-000000000000}">
      <formula1>$O$4:$O$9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 Match Play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Andy Alcarese</cp:lastModifiedBy>
  <dcterms:created xsi:type="dcterms:W3CDTF">2026-01-01T01:09:26Z</dcterms:created>
  <dcterms:modified xsi:type="dcterms:W3CDTF">2026-01-01T16:06:48Z</dcterms:modified>
</cp:coreProperties>
</file>