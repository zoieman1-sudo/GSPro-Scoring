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smodulargroupeast-my.sharepoint.com/personal/andy_alcarese_usmge_com/Documents/Temp Folder Before Doc is Filed/"/>
    </mc:Choice>
  </mc:AlternateContent>
  <xr:revisionPtr revIDLastSave="18" documentId="11_F6F60BDE55707A4F6F2AB0B747322E3BFD037FAD" xr6:coauthVersionLast="47" xr6:coauthVersionMax="47" xr10:uidLastSave="{CB646CFA-8D17-41E4-8F39-4E39C6BD0F15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K12" i="1"/>
  <c r="J12" i="1"/>
  <c r="I12" i="1"/>
  <c r="H12" i="1"/>
  <c r="G12" i="1"/>
  <c r="F12" i="1"/>
  <c r="E12" i="1"/>
  <c r="D12" i="1"/>
  <c r="L11" i="1"/>
  <c r="K11" i="1"/>
  <c r="J11" i="1"/>
  <c r="I11" i="1"/>
  <c r="H11" i="1"/>
  <c r="G11" i="1"/>
  <c r="F11" i="1"/>
  <c r="E11" i="1"/>
  <c r="D11" i="1"/>
  <c r="M10" i="1"/>
  <c r="M9" i="1"/>
  <c r="B7" i="1"/>
  <c r="M6" i="1"/>
  <c r="B6" i="1"/>
  <c r="M5" i="1"/>
  <c r="M12" i="1" l="1"/>
  <c r="L14" i="1"/>
  <c r="L13" i="1"/>
  <c r="K14" i="1"/>
  <c r="K13" i="1"/>
  <c r="J14" i="1"/>
  <c r="J13" i="1"/>
  <c r="I14" i="1"/>
  <c r="I13" i="1"/>
  <c r="H14" i="1"/>
  <c r="H13" i="1"/>
  <c r="G14" i="1"/>
  <c r="G13" i="1"/>
  <c r="F14" i="1"/>
  <c r="F13" i="1"/>
  <c r="E14" i="1"/>
  <c r="E13" i="1"/>
  <c r="D14" i="1"/>
  <c r="D13" i="1"/>
  <c r="M11" i="1"/>
  <c r="O5" i="1"/>
  <c r="B14" i="1" l="1"/>
  <c r="O6" i="1"/>
  <c r="O7" i="1"/>
  <c r="B13" i="1"/>
  <c r="O8" i="1" l="1"/>
  <c r="O9" i="1" l="1"/>
  <c r="K8" i="1"/>
  <c r="G8" i="1"/>
  <c r="D8" i="1"/>
  <c r="E8" i="1"/>
  <c r="I8" i="1" l="1"/>
  <c r="J8" i="1"/>
  <c r="F8" i="1"/>
  <c r="L8" i="1"/>
  <c r="H8" i="1"/>
  <c r="M8" i="1" l="1"/>
</calcChain>
</file>

<file path=xl/sharedStrings.xml><?xml version="1.0" encoding="utf-8"?>
<sst xmlns="http://schemas.openxmlformats.org/spreadsheetml/2006/main" count="33" uniqueCount="26">
  <si>
    <t>A Hcp</t>
  </si>
  <si>
    <t>Hole</t>
  </si>
  <si>
    <t>Total</t>
  </si>
  <si>
    <t>Helper</t>
  </si>
  <si>
    <t xml:space="preserve">B Hcp </t>
  </si>
  <si>
    <t>Par</t>
  </si>
  <si>
    <t>DiffHalf</t>
  </si>
  <si>
    <t>Strokes to</t>
  </si>
  <si>
    <t>Ydg</t>
  </si>
  <si>
    <t>Base</t>
  </si>
  <si>
    <t xml:space="preserve">Total </t>
  </si>
  <si>
    <t>Hcp</t>
  </si>
  <si>
    <t>Rem</t>
  </si>
  <si>
    <t>Strokes</t>
  </si>
  <si>
    <t xml:space="preserve"> </t>
  </si>
  <si>
    <t>Full</t>
  </si>
  <si>
    <t>Gross</t>
  </si>
  <si>
    <t>Player</t>
  </si>
  <si>
    <t>A</t>
  </si>
  <si>
    <t>Half</t>
  </si>
  <si>
    <t>B</t>
  </si>
  <si>
    <t>Net</t>
  </si>
  <si>
    <t xml:space="preserve">Player </t>
  </si>
  <si>
    <t>Pts A</t>
  </si>
  <si>
    <t>Points</t>
  </si>
  <si>
    <t>Pts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</si>
</sst>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?/2"/>
    <numFmt numFmtId="165" formatCode="0;\-0;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font>
        <b/>
        <vertAlign val="superscript"/>
        <sz val="9"/>
      </font>
      <numFmt numFmtId="166" formatCode="0\*"/>
    </dxf>
    <dxf>
      <font>
        <b/>
        <vertAlign val="superscript"/>
        <sz val="9"/>
      </font>
      <numFmt numFmtId="167" formatCode="0&quot; 1/2&quot;"/>
    </dxf>
    <dxf>
      <font>
        <sz val="11"/>
      </font>
      <numFmt numFmtId="1" formatCode="0"/>
    </dxf>
    <dxf>
      <font>
        <b/>
        <vertAlign val="superscript"/>
        <sz val="9"/>
      </font>
      <numFmt numFmtId="166" formatCode="0\*"/>
    </dxf>
    <dxf>
      <font>
        <b/>
        <vertAlign val="superscript"/>
        <sz val="9"/>
      </font>
      <numFmt numFmtId="167" formatCode="0&quot; 1/2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14"/>
  <sheetViews>
    <sheetView tabSelected="1" workbookViewId="0">
      <selection activeCell="M10" sqref="M10"/>
    </sheetView>
  </sheetViews>
  <sheetFormatPr defaultRowHeight="14.5" x14ac:dyDescent="0.35"/>
  <sheetData>
    <row r="4" spans="1:15" x14ac:dyDescent="0.35">
      <c r="A4" t="s">
        <v>0</v>
      </c>
      <c r="B4">
        <v>2</v>
      </c>
      <c r="C4" t="s">
        <v>1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 t="s">
        <v>2</v>
      </c>
      <c r="N4" t="s">
        <v>3</v>
      </c>
    </row>
    <row r="5" spans="1:15" x14ac:dyDescent="0.35">
      <c r="A5" t="s">
        <v>4</v>
      </c>
      <c r="B5">
        <v>5</v>
      </c>
      <c r="C5" t="s">
        <v>5</v>
      </c>
      <c r="D5">
        <v>4</v>
      </c>
      <c r="E5">
        <v>3</v>
      </c>
      <c r="F5">
        <v>4</v>
      </c>
      <c r="G5">
        <v>4</v>
      </c>
      <c r="H5">
        <v>5</v>
      </c>
      <c r="I5">
        <v>3</v>
      </c>
      <c r="J5">
        <v>5</v>
      </c>
      <c r="K5">
        <v>4</v>
      </c>
      <c r="L5">
        <v>4</v>
      </c>
      <c r="M5">
        <f>SUM(D5:L5)</f>
        <v>36</v>
      </c>
      <c r="N5" t="s">
        <v>6</v>
      </c>
      <c r="O5">
        <f>$B$7/2</f>
        <v>1.5</v>
      </c>
    </row>
    <row r="6" spans="1:15" x14ac:dyDescent="0.35">
      <c r="A6" t="s">
        <v>7</v>
      </c>
      <c r="B6" t="str">
        <f>IF($B$4&gt;$B$5,"A",IF($B$5&gt;$B$4,"B","-"))</f>
        <v>B</v>
      </c>
      <c r="C6" t="s">
        <v>8</v>
      </c>
      <c r="D6">
        <v>365</v>
      </c>
      <c r="E6">
        <v>155</v>
      </c>
      <c r="F6">
        <v>445</v>
      </c>
      <c r="G6">
        <v>356</v>
      </c>
      <c r="H6">
        <v>587</v>
      </c>
      <c r="I6">
        <v>198</v>
      </c>
      <c r="J6">
        <v>577</v>
      </c>
      <c r="K6">
        <v>420</v>
      </c>
      <c r="L6">
        <v>405</v>
      </c>
      <c r="M6">
        <f>SUM(D6:L6)</f>
        <v>3508</v>
      </c>
      <c r="N6" t="s">
        <v>9</v>
      </c>
      <c r="O6">
        <f>INT($O$5/9)</f>
        <v>0</v>
      </c>
    </row>
    <row r="7" spans="1:15" x14ac:dyDescent="0.35">
      <c r="A7" t="s">
        <v>10</v>
      </c>
      <c r="B7">
        <f>ABS($B$4-$B$5)</f>
        <v>3</v>
      </c>
      <c r="C7" t="s">
        <v>11</v>
      </c>
      <c r="D7">
        <v>13</v>
      </c>
      <c r="E7">
        <v>11</v>
      </c>
      <c r="F7">
        <v>9</v>
      </c>
      <c r="G7">
        <v>7</v>
      </c>
      <c r="H7">
        <v>5</v>
      </c>
      <c r="I7">
        <v>3</v>
      </c>
      <c r="J7">
        <v>1</v>
      </c>
      <c r="K7">
        <v>15</v>
      </c>
      <c r="L7">
        <v>17</v>
      </c>
      <c r="N7" t="s">
        <v>12</v>
      </c>
      <c r="O7">
        <f>$O$5-$O$6*9</f>
        <v>1.5</v>
      </c>
    </row>
    <row r="8" spans="1:15" x14ac:dyDescent="0.35">
      <c r="A8" t="s">
        <v>13</v>
      </c>
      <c r="C8" t="s">
        <v>14</v>
      </c>
      <c r="D8" s="1">
        <f t="shared" ref="D8:L8" si="0">IF($B$7=0,0,$O$6 + IF(RANK(D7,$D$7:$L$7,1)&lt;=$O$8,1,0) + IF(AND($O$9=0.5,RANK(D7,$D$7:$L$7,1)=$O$8+1),0.5,0))</f>
        <v>0</v>
      </c>
      <c r="E8" s="1">
        <f t="shared" si="0"/>
        <v>0</v>
      </c>
      <c r="F8" s="1">
        <f t="shared" si="0"/>
        <v>0</v>
      </c>
      <c r="G8" s="1">
        <f t="shared" si="0"/>
        <v>0</v>
      </c>
      <c r="H8" s="1">
        <f t="shared" si="0"/>
        <v>0</v>
      </c>
      <c r="I8" s="1">
        <f t="shared" si="0"/>
        <v>0.5</v>
      </c>
      <c r="J8" s="1">
        <f t="shared" si="0"/>
        <v>1</v>
      </c>
      <c r="K8" s="1">
        <f t="shared" si="0"/>
        <v>0</v>
      </c>
      <c r="L8" s="1">
        <f t="shared" si="0"/>
        <v>0</v>
      </c>
      <c r="M8">
        <f>SUM(D8:L8)</f>
        <v>1.5</v>
      </c>
      <c r="N8" t="s">
        <v>15</v>
      </c>
      <c r="O8">
        <f>INT($O$7)</f>
        <v>1</v>
      </c>
    </row>
    <row r="9" spans="1:15" x14ac:dyDescent="0.35">
      <c r="A9" t="s">
        <v>16</v>
      </c>
      <c r="B9" t="s">
        <v>17</v>
      </c>
      <c r="C9" t="s">
        <v>18</v>
      </c>
      <c r="D9" s="2">
        <v>4</v>
      </c>
      <c r="E9" s="2">
        <v>5</v>
      </c>
      <c r="F9" s="2">
        <v>4</v>
      </c>
      <c r="G9" s="2">
        <v>4</v>
      </c>
      <c r="H9" s="2">
        <v>5</v>
      </c>
      <c r="I9" s="2">
        <v>3</v>
      </c>
      <c r="J9" s="2">
        <v>4</v>
      </c>
      <c r="K9" s="2">
        <v>4</v>
      </c>
      <c r="L9" s="2">
        <v>5</v>
      </c>
      <c r="M9">
        <f>SUM(D9:L9)</f>
        <v>38</v>
      </c>
      <c r="N9" t="s">
        <v>19</v>
      </c>
      <c r="O9">
        <f>$O$7-$O$8</f>
        <v>0.5</v>
      </c>
    </row>
    <row r="10" spans="1:15" x14ac:dyDescent="0.35">
      <c r="A10" t="s">
        <v>16</v>
      </c>
      <c r="B10" t="s">
        <v>17</v>
      </c>
      <c r="C10" t="s">
        <v>20</v>
      </c>
      <c r="D10" s="2">
        <v>4</v>
      </c>
      <c r="E10" s="2">
        <v>6</v>
      </c>
      <c r="F10" s="2">
        <v>3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>
        <f>SUM(D10:L10)</f>
        <v>37</v>
      </c>
    </row>
    <row r="11" spans="1:15" x14ac:dyDescent="0.35">
      <c r="A11" t="s">
        <v>21</v>
      </c>
      <c r="B11" t="s">
        <v>22</v>
      </c>
      <c r="C11" t="s">
        <v>18</v>
      </c>
      <c r="D11" s="1">
        <f t="shared" ref="D11:L11" si="1">IF(D9=0,"",D9-IF($B$6="A",D8,0))</f>
        <v>4</v>
      </c>
      <c r="E11" s="1">
        <f t="shared" si="1"/>
        <v>5</v>
      </c>
      <c r="F11" s="1">
        <f t="shared" si="1"/>
        <v>4</v>
      </c>
      <c r="G11" s="1">
        <f t="shared" si="1"/>
        <v>4</v>
      </c>
      <c r="H11" s="1">
        <f t="shared" si="1"/>
        <v>5</v>
      </c>
      <c r="I11" s="1">
        <f t="shared" si="1"/>
        <v>3</v>
      </c>
      <c r="J11" s="1">
        <f t="shared" si="1"/>
        <v>4</v>
      </c>
      <c r="K11" s="1">
        <f t="shared" si="1"/>
        <v>4</v>
      </c>
      <c r="L11" s="1">
        <f t="shared" si="1"/>
        <v>5</v>
      </c>
      <c r="M11">
        <f>SUM(D11:L11)</f>
        <v>38</v>
      </c>
    </row>
    <row r="12" spans="1:15" x14ac:dyDescent="0.35">
      <c r="A12" t="s">
        <v>21</v>
      </c>
      <c r="B12" t="s">
        <v>17</v>
      </c>
      <c r="C12" t="s">
        <v>20</v>
      </c>
      <c r="D12" s="1">
        <f t="shared" ref="D12:L12" si="2">IF(D10=0,"",D10-IF($B$6="B",D8,0))</f>
        <v>4</v>
      </c>
      <c r="E12" s="1">
        <f t="shared" si="2"/>
        <v>6</v>
      </c>
      <c r="F12" s="1">
        <f t="shared" si="2"/>
        <v>3</v>
      </c>
      <c r="G12" s="1">
        <f t="shared" si="2"/>
        <v>4</v>
      </c>
      <c r="H12" s="1">
        <f t="shared" si="2"/>
        <v>4</v>
      </c>
      <c r="I12" s="1">
        <f t="shared" si="2"/>
        <v>3.5</v>
      </c>
      <c r="J12" s="1">
        <f t="shared" si="2"/>
        <v>3</v>
      </c>
      <c r="K12" s="1">
        <f t="shared" si="2"/>
        <v>4</v>
      </c>
      <c r="L12" s="1">
        <f t="shared" si="2"/>
        <v>4</v>
      </c>
      <c r="M12">
        <f>SUM(D12:L12)</f>
        <v>35.5</v>
      </c>
    </row>
    <row r="13" spans="1:15" x14ac:dyDescent="0.35">
      <c r="A13" t="s">
        <v>23</v>
      </c>
      <c r="B13" s="1">
        <f>SUM(D13:L13)</f>
        <v>3.5</v>
      </c>
      <c r="C13" t="s">
        <v>24</v>
      </c>
      <c r="D13" s="1">
        <f t="shared" ref="D13:L13" si="3">IF(OR(D11="",D12=""),"",IF(D11&lt;D12,1,IF(D11=D12,0.5,0)))</f>
        <v>0.5</v>
      </c>
      <c r="E13" s="1">
        <f t="shared" si="3"/>
        <v>1</v>
      </c>
      <c r="F13" s="1">
        <f t="shared" si="3"/>
        <v>0</v>
      </c>
      <c r="G13" s="1">
        <f t="shared" si="3"/>
        <v>0.5</v>
      </c>
      <c r="H13" s="1">
        <f t="shared" si="3"/>
        <v>0</v>
      </c>
      <c r="I13" s="1">
        <f t="shared" si="3"/>
        <v>1</v>
      </c>
      <c r="J13" s="1">
        <f t="shared" si="3"/>
        <v>0</v>
      </c>
      <c r="K13" s="1">
        <f t="shared" si="3"/>
        <v>0.5</v>
      </c>
      <c r="L13" s="1">
        <f t="shared" si="3"/>
        <v>0</v>
      </c>
    </row>
    <row r="14" spans="1:15" x14ac:dyDescent="0.35">
      <c r="A14" t="s">
        <v>25</v>
      </c>
      <c r="B14" s="1">
        <f>SUM(D14:L14)</f>
        <v>5.5</v>
      </c>
      <c r="C14" t="s">
        <v>24</v>
      </c>
      <c r="D14" s="1">
        <f t="shared" ref="D14:L14" si="4">IF(OR(D11="",D12=""),"",IF(D12&lt;D11,1,IF(D11=D12,0.5,0)))</f>
        <v>0.5</v>
      </c>
      <c r="E14" s="1">
        <f t="shared" si="4"/>
        <v>0</v>
      </c>
      <c r="F14" s="1">
        <f t="shared" si="4"/>
        <v>1</v>
      </c>
      <c r="G14" s="1">
        <f t="shared" si="4"/>
        <v>0.5</v>
      </c>
      <c r="H14" s="1">
        <f t="shared" si="4"/>
        <v>1</v>
      </c>
      <c r="I14" s="1">
        <f t="shared" si="4"/>
        <v>0</v>
      </c>
      <c r="J14" s="1">
        <f t="shared" si="4"/>
        <v>1</v>
      </c>
      <c r="K14" s="1">
        <f t="shared" si="4"/>
        <v>0.5</v>
      </c>
      <c r="L14" s="1">
        <f t="shared" si="4"/>
        <v>1</v>
      </c>
    </row>
  </sheetData>
  <conditionalFormatting sqref="D9:L9">
    <cfRule type="expression" dxfId="4" priority="7">
      <formula>AND($B$6="A",D8=0.5)</formula>
    </cfRule>
    <cfRule type="expression" dxfId="3" priority="8">
      <formula>AND($B$6="A",D8&gt;=1)</formula>
    </cfRule>
  </conditionalFormatting>
  <conditionalFormatting sqref="D9:L10">
    <cfRule type="expression" dxfId="2" priority="5">
      <formula>D9&lt;&gt;0</formula>
    </cfRule>
  </conditionalFormatting>
  <conditionalFormatting sqref="D10:L10">
    <cfRule type="expression" dxfId="1" priority="9">
      <formula>AND($B$6="B",D8=0.5)</formula>
    </cfRule>
    <cfRule type="expression" dxfId="0" priority="10">
      <formula>AND($B$6="B",D8&gt;=1)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Alcarese</dc:creator>
  <cp:lastModifiedBy>Andy Alcarese</cp:lastModifiedBy>
  <dcterms:created xsi:type="dcterms:W3CDTF">2026-01-04T19:11:39Z</dcterms:created>
  <dcterms:modified xsi:type="dcterms:W3CDTF">2026-01-04T21:01:25Z</dcterms:modified>
</cp:coreProperties>
</file>