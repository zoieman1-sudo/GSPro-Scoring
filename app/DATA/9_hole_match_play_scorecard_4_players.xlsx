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usmodulargroupeast-my.sharepoint.com/personal/andy_alcarese_usmge_com/Documents/Temp Folder Before Doc is Filed/"/>
    </mc:Choice>
  </mc:AlternateContent>
  <xr:revisionPtr revIDLastSave="2" documentId="11_5A7D811E126D72CEE60638B5545DCE3AA7461786" xr6:coauthVersionLast="47" xr6:coauthVersionMax="47" xr10:uidLastSave="{1A9F5B55-029E-41D9-9A30-7027E987ED8A}"/>
  <bookViews>
    <workbookView xWindow="-110" yWindow="-110" windowWidth="19420" windowHeight="11500" xr2:uid="{00000000-000D-0000-FFFF-FFFF00000000}"/>
  </bookViews>
  <sheets>
    <sheet name="Match Play (9 Holes)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3" i="1" l="1"/>
  <c r="M32" i="1"/>
  <c r="M31" i="1"/>
  <c r="M30" i="1"/>
  <c r="A20" i="1"/>
  <c r="J15" i="1"/>
  <c r="J23" i="1" s="1"/>
  <c r="I15" i="1"/>
  <c r="H15" i="1"/>
  <c r="G15" i="1"/>
  <c r="F15" i="1"/>
  <c r="E15" i="1"/>
  <c r="D15" i="1"/>
  <c r="A24" i="1" s="1"/>
  <c r="C15" i="1"/>
  <c r="B15" i="1"/>
  <c r="K14" i="1"/>
  <c r="M15" i="1" s="1"/>
  <c r="J13" i="1"/>
  <c r="I13" i="1"/>
  <c r="I23" i="1" s="1"/>
  <c r="H13" i="1"/>
  <c r="H23" i="1" s="1"/>
  <c r="G13" i="1"/>
  <c r="G23" i="1" s="1"/>
  <c r="F13" i="1"/>
  <c r="F23" i="1" s="1"/>
  <c r="E13" i="1"/>
  <c r="E23" i="1" s="1"/>
  <c r="D13" i="1"/>
  <c r="D23" i="1" s="1"/>
  <c r="C13" i="1"/>
  <c r="C23" i="1" s="1"/>
  <c r="B13" i="1"/>
  <c r="B23" i="1" s="1"/>
  <c r="K12" i="1"/>
  <c r="M13" i="1" s="1"/>
  <c r="J11" i="1"/>
  <c r="I11" i="1"/>
  <c r="H11" i="1"/>
  <c r="G11" i="1"/>
  <c r="F11" i="1"/>
  <c r="E11" i="1"/>
  <c r="D11" i="1"/>
  <c r="C11" i="1"/>
  <c r="B11" i="1"/>
  <c r="K10" i="1"/>
  <c r="M11" i="1" s="1"/>
  <c r="J9" i="1"/>
  <c r="J19" i="1" s="1"/>
  <c r="I9" i="1"/>
  <c r="I19" i="1" s="1"/>
  <c r="H9" i="1"/>
  <c r="H19" i="1" s="1"/>
  <c r="G9" i="1"/>
  <c r="G19" i="1" s="1"/>
  <c r="F9" i="1"/>
  <c r="F19" i="1" s="1"/>
  <c r="E9" i="1"/>
  <c r="E19" i="1" s="1"/>
  <c r="D9" i="1"/>
  <c r="D19" i="1" s="1"/>
  <c r="C9" i="1"/>
  <c r="C19" i="1" s="1"/>
  <c r="B9" i="1"/>
  <c r="B19" i="1" s="1"/>
  <c r="K8" i="1"/>
  <c r="M9" i="1" s="1"/>
  <c r="K5" i="1"/>
</calcChain>
</file>

<file path=xl/sharedStrings.xml><?xml version="1.0" encoding="utf-8"?>
<sst xmlns="http://schemas.openxmlformats.org/spreadsheetml/2006/main" count="30" uniqueCount="29">
  <si>
    <t>9-Hole Golf Scorecard — Match Play (Net) + Skins</t>
  </si>
  <si>
    <t>Enter Par + Hole HCP (1–9), then enter Gross scores and each player’s Course Handicap (CH). Net + Match Play + Skins calculate automatically.</t>
  </si>
  <si>
    <t>Player / Row</t>
  </si>
  <si>
    <t>Gross Total</t>
  </si>
  <si>
    <t>CH</t>
  </si>
  <si>
    <t>Net Total</t>
  </si>
  <si>
    <t>Par</t>
  </si>
  <si>
    <t>Hole HCP (1–9)</t>
  </si>
  <si>
    <t>Player 1 — Gross</t>
  </si>
  <si>
    <t>Player 1 — Net</t>
  </si>
  <si>
    <t>Player 2 — Gross</t>
  </si>
  <si>
    <t>Player 2 — Net</t>
  </si>
  <si>
    <t>Player 3 — Gross</t>
  </si>
  <si>
    <t>Player 3 — Net</t>
  </si>
  <si>
    <t>Player 4 — Gross</t>
  </si>
  <si>
    <t>Player 4 — Net</t>
  </si>
  <si>
    <t>Match Play — Net (Auto)</t>
  </si>
  <si>
    <t>Match A: Player 1 vs Player 2</t>
  </si>
  <si>
    <t>Hole Winner</t>
  </si>
  <si>
    <t>Match B: Player 3 vs Player 4</t>
  </si>
  <si>
    <t>Skins — Net (Auto)</t>
  </si>
  <si>
    <t>Skin Winner</t>
  </si>
  <si>
    <t>Skins Count</t>
  </si>
  <si>
    <t>Player</t>
  </si>
  <si>
    <t>Skins</t>
  </si>
  <si>
    <t>Player 1</t>
  </si>
  <si>
    <t>Player 2</t>
  </si>
  <si>
    <t>Player 3</t>
  </si>
  <si>
    <t>Player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</si>
</sst>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name val="Calibri"/>
      <family val="2"/>
    </font>
    <font>
      <i/>
      <sz val="11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8EEF7"/>
      </patternFill>
    </fill>
    <fill>
      <patternFill patternType="solid">
        <fgColor rgb="FFFFF8E1"/>
      </patternFill>
    </fill>
    <fill>
      <patternFill patternType="solid">
        <fgColor rgb="FFF3F4F6"/>
      </patternFill>
    </fill>
    <fill>
      <patternFill patternType="solid">
        <fgColor rgb="FFEDF7ED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/>
    <xf numFmtId="0" fontId="0" fillId="4" borderId="1" xfId="0" applyFill="1" applyBorder="1"/>
    <xf numFmtId="0" fontId="3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4" fillId="5" borderId="1" xfId="0" applyFont="1" applyFill="1" applyBorder="1" applyAlignment="1">
      <alignment horizontal="left"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9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E16" sqref="E16"/>
    </sheetView>
  </sheetViews>
  <sheetFormatPr defaultRowHeight="14.5" x14ac:dyDescent="0.35"/>
  <cols>
    <col min="1" max="1" width="16.26953125" bestFit="1" customWidth="1"/>
    <col min="2" max="10" width="9" customWidth="1"/>
    <col min="11" max="13" width="13" customWidth="1"/>
  </cols>
  <sheetData>
    <row r="1" spans="1:13" ht="24" customHeight="1" x14ac:dyDescent="0.3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24" customHeight="1" x14ac:dyDescent="0.35">
      <c r="A2" s="20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ht="24" customHeight="1" x14ac:dyDescent="0.35"/>
    <row r="4" spans="1:13" ht="24" customHeight="1" x14ac:dyDescent="0.35">
      <c r="A4" s="1" t="s">
        <v>2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 t="s">
        <v>3</v>
      </c>
      <c r="L4" s="1" t="s">
        <v>4</v>
      </c>
      <c r="M4" s="1" t="s">
        <v>5</v>
      </c>
    </row>
    <row r="5" spans="1:13" ht="24" customHeight="1" x14ac:dyDescent="0.35">
      <c r="A5" s="2" t="s">
        <v>6</v>
      </c>
      <c r="B5" s="3"/>
      <c r="C5" s="3"/>
      <c r="D5" s="3"/>
      <c r="E5" s="3"/>
      <c r="F5" s="3"/>
      <c r="G5" s="3"/>
      <c r="H5" s="3"/>
      <c r="I5" s="3"/>
      <c r="J5" s="3"/>
      <c r="K5" s="4">
        <f>SUM(B5:J5)</f>
        <v>0</v>
      </c>
      <c r="L5" s="5"/>
      <c r="M5" s="5"/>
    </row>
    <row r="6" spans="1:13" ht="24" customHeight="1" x14ac:dyDescent="0.35">
      <c r="A6" s="2" t="s">
        <v>7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5"/>
      <c r="L6" s="5"/>
      <c r="M6" s="5"/>
    </row>
    <row r="7" spans="1:13" ht="24" customHeight="1" x14ac:dyDescent="0.3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 ht="24" customHeight="1" x14ac:dyDescent="0.35">
      <c r="A8" s="2" t="s">
        <v>8</v>
      </c>
      <c r="B8" s="3"/>
      <c r="C8" s="3"/>
      <c r="D8" s="3"/>
      <c r="E8" s="3"/>
      <c r="F8" s="3"/>
      <c r="G8" s="3"/>
      <c r="H8" s="3"/>
      <c r="I8" s="3"/>
      <c r="J8" s="3"/>
      <c r="K8" s="4">
        <f>SUM(B8:J8)</f>
        <v>0</v>
      </c>
      <c r="L8" s="3">
        <v>0</v>
      </c>
      <c r="M8" s="6"/>
    </row>
    <row r="9" spans="1:13" ht="24" customHeight="1" x14ac:dyDescent="0.35">
      <c r="A9" s="7" t="s">
        <v>9</v>
      </c>
      <c r="B9" s="4" t="str">
        <f>IF(B8="","",B8-(INT(L8/9)+IF(B6&lt;=MOD(L8,9),1,0)))</f>
        <v/>
      </c>
      <c r="C9" s="4" t="str">
        <f>IF(C8="","",C8-(INT(L8/9)+IF(C6&lt;=MOD(L8,9),1,0)))</f>
        <v/>
      </c>
      <c r="D9" s="4" t="str">
        <f>IF(D8="","",D8-(INT(L8/9)+IF(D6&lt;=MOD(L8,9),1,0)))</f>
        <v/>
      </c>
      <c r="E9" s="4" t="str">
        <f>IF(E8="","",E8-(INT(L8/9)+IF(E6&lt;=MOD(L8,9),1,0)))</f>
        <v/>
      </c>
      <c r="F9" s="4" t="str">
        <f>IF(F8="","",F8-(INT(L8/9)+IF(F6&lt;=MOD(L8,9),1,0)))</f>
        <v/>
      </c>
      <c r="G9" s="4" t="str">
        <f>IF(G8="","",G8-(INT(L8/9)+IF(G6&lt;=MOD(L8,9),1,0)))</f>
        <v/>
      </c>
      <c r="H9" s="4" t="str">
        <f>IF(H8="","",H8-(INT(L8/9)+IF(H6&lt;=MOD(L8,9),1,0)))</f>
        <v/>
      </c>
      <c r="I9" s="4" t="str">
        <f>IF(I8="","",I8-(INT(L8/9)+IF(I6&lt;=MOD(L8,9),1,0)))</f>
        <v/>
      </c>
      <c r="J9" s="4" t="str">
        <f>IF(J8="","",J8-(INT(L8/9)+IF(J6&lt;=MOD(L8,9),1,0)))</f>
        <v/>
      </c>
      <c r="K9" s="6"/>
      <c r="L9" s="6"/>
      <c r="M9" s="4">
        <f>IF(K8="","",K8-L8)</f>
        <v>0</v>
      </c>
    </row>
    <row r="10" spans="1:13" ht="24" customHeight="1" x14ac:dyDescent="0.35">
      <c r="A10" s="2" t="s">
        <v>10</v>
      </c>
      <c r="B10" s="3"/>
      <c r="C10" s="3"/>
      <c r="D10" s="3"/>
      <c r="E10" s="3"/>
      <c r="F10" s="3"/>
      <c r="G10" s="3"/>
      <c r="H10" s="3"/>
      <c r="I10" s="3"/>
      <c r="J10" s="3"/>
      <c r="K10" s="4">
        <f>SUM(B10:J10)</f>
        <v>0</v>
      </c>
      <c r="L10" s="3">
        <v>0</v>
      </c>
      <c r="M10" s="6"/>
    </row>
    <row r="11" spans="1:13" ht="24" customHeight="1" x14ac:dyDescent="0.35">
      <c r="A11" s="7" t="s">
        <v>11</v>
      </c>
      <c r="B11" s="4" t="str">
        <f>IF(B10="","",B10-(INT(L10/9)+IF(B6&lt;=MOD(L10,9),1,0)))</f>
        <v/>
      </c>
      <c r="C11" s="4" t="str">
        <f>IF(C10="","",C10-(INT(L10/9)+IF(C6&lt;=MOD(L10,9),1,0)))</f>
        <v/>
      </c>
      <c r="D11" s="4" t="str">
        <f>IF(D10="","",D10-(INT(L10/9)+IF(D6&lt;=MOD(L10,9),1,0)))</f>
        <v/>
      </c>
      <c r="E11" s="4" t="str">
        <f>IF(E10="","",E10-(INT(L10/9)+IF(E6&lt;=MOD(L10,9),1,0)))</f>
        <v/>
      </c>
      <c r="F11" s="4" t="str">
        <f>IF(F10="","",F10-(INT(L10/9)+IF(F6&lt;=MOD(L10,9),1,0)))</f>
        <v/>
      </c>
      <c r="G11" s="4" t="str">
        <f>IF(G10="","",G10-(INT(L10/9)+IF(G6&lt;=MOD(L10,9),1,0)))</f>
        <v/>
      </c>
      <c r="H11" s="4" t="str">
        <f>IF(H10="","",H10-(INT(L10/9)+IF(H6&lt;=MOD(L10,9),1,0)))</f>
        <v/>
      </c>
      <c r="I11" s="4" t="str">
        <f>IF(I10="","",I10-(INT(L10/9)+IF(I6&lt;=MOD(L10,9),1,0)))</f>
        <v/>
      </c>
      <c r="J11" s="4" t="str">
        <f>IF(J10="","",J10-(INT(L10/9)+IF(J6&lt;=MOD(L10,9),1,0)))</f>
        <v/>
      </c>
      <c r="K11" s="6"/>
      <c r="L11" s="6"/>
      <c r="M11" s="4">
        <f>IF(K10="","",K10-L10)</f>
        <v>0</v>
      </c>
    </row>
    <row r="12" spans="1:13" ht="24" customHeight="1" x14ac:dyDescent="0.35">
      <c r="A12" s="2" t="s">
        <v>12</v>
      </c>
      <c r="B12" s="3"/>
      <c r="C12" s="3"/>
      <c r="D12" s="3"/>
      <c r="E12" s="3"/>
      <c r="F12" s="3"/>
      <c r="G12" s="3"/>
      <c r="H12" s="3"/>
      <c r="I12" s="3"/>
      <c r="J12" s="3"/>
      <c r="K12" s="4">
        <f>SUM(B12:J12)</f>
        <v>0</v>
      </c>
      <c r="L12" s="3">
        <v>0</v>
      </c>
      <c r="M12" s="6"/>
    </row>
    <row r="13" spans="1:13" ht="24" customHeight="1" x14ac:dyDescent="0.35">
      <c r="A13" s="7" t="s">
        <v>13</v>
      </c>
      <c r="B13" s="4" t="str">
        <f>IF(B12="","",B12-(INT(L12/9)+IF(B6&lt;=MOD(L12,9),1,0)))</f>
        <v/>
      </c>
      <c r="C13" s="4" t="str">
        <f>IF(C12="","",C12-(INT(L12/9)+IF(C6&lt;=MOD(L12,9),1,0)))</f>
        <v/>
      </c>
      <c r="D13" s="4" t="str">
        <f>IF(D12="","",D12-(INT(L12/9)+IF(D6&lt;=MOD(L12,9),1,0)))</f>
        <v/>
      </c>
      <c r="E13" s="4" t="str">
        <f>IF(E12="","",E12-(INT(L12/9)+IF(E6&lt;=MOD(L12,9),1,0)))</f>
        <v/>
      </c>
      <c r="F13" s="4" t="str">
        <f>IF(F12="","",F12-(INT(L12/9)+IF(F6&lt;=MOD(L12,9),1,0)))</f>
        <v/>
      </c>
      <c r="G13" s="4" t="str">
        <f>IF(G12="","",G12-(INT(L12/9)+IF(G6&lt;=MOD(L12,9),1,0)))</f>
        <v/>
      </c>
      <c r="H13" s="4" t="str">
        <f>IF(H12="","",H12-(INT(L12/9)+IF(H6&lt;=MOD(L12,9),1,0)))</f>
        <v/>
      </c>
      <c r="I13" s="4" t="str">
        <f>IF(I12="","",I12-(INT(L12/9)+IF(I6&lt;=MOD(L12,9),1,0)))</f>
        <v/>
      </c>
      <c r="J13" s="4" t="str">
        <f>IF(J12="","",J12-(INT(L12/9)+IF(J6&lt;=MOD(L12,9),1,0)))</f>
        <v/>
      </c>
      <c r="K13" s="6"/>
      <c r="L13" s="6"/>
      <c r="M13" s="4">
        <f>IF(K12="","",K12-L12)</f>
        <v>0</v>
      </c>
    </row>
    <row r="14" spans="1:13" ht="24" customHeight="1" x14ac:dyDescent="0.35">
      <c r="A14" s="2" t="s">
        <v>14</v>
      </c>
      <c r="B14" s="3"/>
      <c r="C14" s="3"/>
      <c r="D14" s="3"/>
      <c r="E14" s="3"/>
      <c r="F14" s="3"/>
      <c r="G14" s="3"/>
      <c r="H14" s="3"/>
      <c r="I14" s="3"/>
      <c r="J14" s="3"/>
      <c r="K14" s="4">
        <f>SUM(B14:J14)</f>
        <v>0</v>
      </c>
      <c r="L14" s="3">
        <v>0</v>
      </c>
      <c r="M14" s="6"/>
    </row>
    <row r="15" spans="1:13" ht="24" customHeight="1" x14ac:dyDescent="0.35">
      <c r="A15" s="7" t="s">
        <v>15</v>
      </c>
      <c r="B15" s="4" t="str">
        <f>IF(B14="","",B14-(INT(L14/9)+IF(B6&lt;=MOD(L14,9),1,0)))</f>
        <v/>
      </c>
      <c r="C15" s="4" t="str">
        <f>IF(C14="","",C14-(INT(L14/9)+IF(C6&lt;=MOD(L14,9),1,0)))</f>
        <v/>
      </c>
      <c r="D15" s="4" t="str">
        <f>IF(D14="","",D14-(INT(L14/9)+IF(D6&lt;=MOD(L14,9),1,0)))</f>
        <v/>
      </c>
      <c r="E15" s="4" t="str">
        <f>IF(E14="","",E14-(INT(L14/9)+IF(E6&lt;=MOD(L14,9),1,0)))</f>
        <v/>
      </c>
      <c r="F15" s="4" t="str">
        <f>IF(F14="","",F14-(INT(L14/9)+IF(F6&lt;=MOD(L14,9),1,0)))</f>
        <v/>
      </c>
      <c r="G15" s="4" t="str">
        <f>IF(G14="","",G14-(INT(L14/9)+IF(G6&lt;=MOD(L14,9),1,0)))</f>
        <v/>
      </c>
      <c r="H15" s="4" t="str">
        <f>IF(H14="","",H14-(INT(L14/9)+IF(H6&lt;=MOD(L14,9),1,0)))</f>
        <v/>
      </c>
      <c r="I15" s="4" t="str">
        <f>IF(I14="","",I14-(INT(L14/9)+IF(I6&lt;=MOD(L14,9),1,0)))</f>
        <v/>
      </c>
      <c r="J15" s="4" t="str">
        <f>IF(J14="","",J14-(INT(L14/9)+IF(J6&lt;=MOD(L14,9),1,0)))</f>
        <v/>
      </c>
      <c r="K15" s="6"/>
      <c r="L15" s="6"/>
      <c r="M15" s="4">
        <f>IF(K14="","",K14-L14)</f>
        <v>0</v>
      </c>
    </row>
    <row r="16" spans="1:13" ht="24" customHeight="1" x14ac:dyDescent="0.35"/>
    <row r="17" spans="1:13" ht="24" customHeight="1" x14ac:dyDescent="0.35">
      <c r="A17" s="18" t="s">
        <v>16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ht="24" customHeight="1" x14ac:dyDescent="0.35">
      <c r="A18" s="17" t="s">
        <v>17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</row>
    <row r="19" spans="1:13" ht="24" customHeight="1" x14ac:dyDescent="0.35">
      <c r="A19" s="8" t="s">
        <v>18</v>
      </c>
      <c r="B19" s="9" t="str">
        <f t="shared" ref="B19:J19" si="0">IF(OR(B9="",B11=""),"",IF(B9&lt;B11,"Player 1",IF(B11&lt;B9,"Player 2","Halved")))</f>
        <v/>
      </c>
      <c r="C19" s="9" t="str">
        <f t="shared" si="0"/>
        <v/>
      </c>
      <c r="D19" s="9" t="str">
        <f t="shared" si="0"/>
        <v/>
      </c>
      <c r="E19" s="9" t="str">
        <f t="shared" si="0"/>
        <v/>
      </c>
      <c r="F19" s="9" t="str">
        <f t="shared" si="0"/>
        <v/>
      </c>
      <c r="G19" s="9" t="str">
        <f t="shared" si="0"/>
        <v/>
      </c>
      <c r="H19" s="9" t="str">
        <f t="shared" si="0"/>
        <v/>
      </c>
      <c r="I19" s="9" t="str">
        <f t="shared" si="0"/>
        <v/>
      </c>
      <c r="J19" s="9" t="str">
        <f t="shared" si="0"/>
        <v/>
      </c>
      <c r="K19" s="10"/>
      <c r="L19" s="10"/>
      <c r="M19" s="10"/>
    </row>
    <row r="20" spans="1:13" ht="24" customHeight="1" x14ac:dyDescent="0.35">
      <c r="A20" s="19" t="str">
        <f>IF(COUNTA(B9:J9,B11:J11)=0,"",IF((IF(OR(B9="",B11=""),0,IF(B9&lt;B11,1,IF(B11&lt;B9,-1,0)))+IF(OR(C9="",C11=""),0,IF(C9&lt;C11,1,IF(C11&lt;C9,-1,0)))+IF(OR(D9="",D11=""),0,IF(D9&lt;D11,1,IF(D11&lt;D9,-1,0)))+IF(OR(E9="",E11=""),0,IF(E9&lt;E11,1,IF(E11&lt;E9,-1,0)))+IF(OR(F9="",F11=""),0,IF(F9&lt;F11,1,IF(F11&lt;F9,-1,0)))+IF(OR(G9="",G11=""),0,IF(G9&lt;G11,1,IF(G11&lt;G9,-1,0)))+IF(OR(H9="",H11=""),0,IF(H9&lt;H11,1,IF(H11&lt;H9,-1,0)))+IF(OR(I9="",I11=""),0,IF(I9&lt;I11,1,IF(I11&lt;I9,-1,0)))+IF(OR(J9="",J11=""),0,IF(J9&lt;J11,1,IF(J11&lt;J9,-1,0))))=0,"Status: AS",IF((IF(OR(B9="",B11=""),0,IF(B9&lt;B11,1,IF(B11&lt;B9,-1,0)))+IF(OR(C9="",C11=""),0,IF(C9&lt;C11,1,IF(C11&lt;C9,-1,0)))+IF(OR(D9="",D11=""),0,IF(D9&lt;D11,1,IF(D11&lt;D9,-1,0)))+IF(OR(E9="",E11=""),0,IF(E9&lt;E11,1,IF(E11&lt;E9,-1,0)))+IF(OR(F9="",F11=""),0,IF(F9&lt;F11,1,IF(F11&lt;F9,-1,0)))+IF(OR(G9="",G11=""),0,IF(G9&lt;G11,1,IF(G11&lt;G9,-1,0)))+IF(OR(H9="",H11=""),0,IF(H9&lt;H11,1,IF(H11&lt;H9,-1,0)))+IF(OR(I9="",I11=""),0,IF(I9&lt;I11,1,IF(I11&lt;I9,-1,0)))+IF(OR(J9="",J11=""),0,IF(J9&lt;J11,1,IF(J11&lt;J9,-1,0))))&gt;0,"Status: Player 1 UP "&amp;(IF(OR(B9="",B11=""),0,IF(B9&lt;B11,1,IF(B11&lt;B9,-1,0)))+IF(OR(C9="",C11=""),0,IF(C9&lt;C11,1,IF(C11&lt;C9,-1,0)))+IF(OR(D9="",D11=""),0,IF(D9&lt;D11,1,IF(D11&lt;D9,-1,0)))+IF(OR(E9="",E11=""),0,IF(E9&lt;E11,1,IF(E11&lt;E9,-1,0)))+IF(OR(F9="",F11=""),0,IF(F9&lt;F11,1,IF(F11&lt;F9,-1,0)))+IF(OR(G9="",G11=""),0,IF(G9&lt;G11,1,IF(G11&lt;G9,-1,0)))+IF(OR(H9="",H11=""),0,IF(H9&lt;H11,1,IF(H11&lt;H9,-1,0)))+IF(OR(I9="",I11=""),0,IF(I9&lt;I11,1,IF(I11&lt;I9,-1,0)))+IF(OR(J9="",J11=""),0,IF(J9&lt;J11,1,IF(J11&lt;J9,-1,0)))),"Status: Player 2 UP "&amp;ABS((IF(OR(B9="",B11=""),0,IF(B9&lt;B11,1,IF(B11&lt;B9,-1,0)))+IF(OR(C9="",C11=""),0,IF(C9&lt;C11,1,IF(C11&lt;C9,-1,0)))+IF(OR(D9="",D11=""),0,IF(D9&lt;D11,1,IF(D11&lt;D9,-1,0)))+IF(OR(E9="",E11=""),0,IF(E9&lt;E11,1,IF(E11&lt;E9,-1,0)))+IF(OR(F9="",F11=""),0,IF(F9&lt;F11,1,IF(F11&lt;F9,-1,0)))+IF(OR(G9="",G11=""),0,IF(G9&lt;G11,1,IF(G11&lt;G9,-1,0)))+IF(OR(H9="",H11=""),0,IF(H9&lt;H11,1,IF(H11&lt;H9,-1,0)))+IF(OR(I9="",I11=""),0,IF(I9&lt;I11,1,IF(I11&lt;I9,-1,0)))+IF(OR(J9="",J11=""),0,IF(J9&lt;J11,1,IF(J11&lt;J9,-1,0))))))))</f>
        <v>Status: AS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</row>
    <row r="21" spans="1:13" ht="24" customHeight="1" x14ac:dyDescent="0.35"/>
    <row r="22" spans="1:13" ht="24" customHeight="1" x14ac:dyDescent="0.35">
      <c r="A22" s="17" t="s">
        <v>19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</row>
    <row r="23" spans="1:13" ht="24" customHeight="1" x14ac:dyDescent="0.35">
      <c r="A23" s="8" t="s">
        <v>18</v>
      </c>
      <c r="B23" s="9" t="str">
        <f t="shared" ref="B23:J23" si="1">IF(OR(B13="",B15=""),"",IF(B13&lt;B15,"Player 3",IF(B15&lt;B13,"Player 4","Halved")))</f>
        <v/>
      </c>
      <c r="C23" s="9" t="str">
        <f t="shared" si="1"/>
        <v/>
      </c>
      <c r="D23" s="9" t="str">
        <f t="shared" si="1"/>
        <v/>
      </c>
      <c r="E23" s="9" t="str">
        <f t="shared" si="1"/>
        <v/>
      </c>
      <c r="F23" s="9" t="str">
        <f t="shared" si="1"/>
        <v/>
      </c>
      <c r="G23" s="9" t="str">
        <f t="shared" si="1"/>
        <v/>
      </c>
      <c r="H23" s="9" t="str">
        <f t="shared" si="1"/>
        <v/>
      </c>
      <c r="I23" s="9" t="str">
        <f t="shared" si="1"/>
        <v/>
      </c>
      <c r="J23" s="9" t="str">
        <f t="shared" si="1"/>
        <v/>
      </c>
      <c r="K23" s="10"/>
      <c r="L23" s="10"/>
      <c r="M23" s="10"/>
    </row>
    <row r="24" spans="1:13" ht="24" customHeight="1" x14ac:dyDescent="0.35">
      <c r="A24" s="19" t="str">
        <f>IF(COUNTA(B13:J13,B15:J15)=0,"",IF((IF(OR(B13="",B15=""),0,IF(B13&lt;B15,1,IF(B15&lt;B13,-1,0)))+IF(OR(C13="",C15=""),0,IF(C13&lt;C15,1,IF(C15&lt;C13,-1,0)))+IF(OR(D13="",D15=""),0,IF(D13&lt;D15,1,IF(D15&lt;D13,-1,0)))+IF(OR(E13="",E15=""),0,IF(E13&lt;E15,1,IF(E15&lt;E13,-1,0)))+IF(OR(F13="",F15=""),0,IF(F13&lt;F15,1,IF(F15&lt;F13,-1,0)))+IF(OR(G13="",G15=""),0,IF(G13&lt;G15,1,IF(G15&lt;G13,-1,0)))+IF(OR(H13="",H15=""),0,IF(H13&lt;H15,1,IF(H15&lt;H13,-1,0)))+IF(OR(I13="",I15=""),0,IF(I13&lt;I15,1,IF(I15&lt;I13,-1,0)))+IF(OR(J13="",J15=""),0,IF(J13&lt;J15,1,IF(J15&lt;J13,-1,0))))=0,"Status: AS",IF((IF(OR(B13="",B15=""),0,IF(B13&lt;B15,1,IF(B15&lt;B13,-1,0)))+IF(OR(C13="",C15=""),0,IF(C13&lt;C15,1,IF(C15&lt;C13,-1,0)))+IF(OR(D13="",D15=""),0,IF(D13&lt;D15,1,IF(D15&lt;D13,-1,0)))+IF(OR(E13="",E15=""),0,IF(E13&lt;E15,1,IF(E15&lt;E13,-1,0)))+IF(OR(F13="",F15=""),0,IF(F13&lt;F15,1,IF(F15&lt;F13,-1,0)))+IF(OR(G13="",G15=""),0,IF(G13&lt;G15,1,IF(G15&lt;G13,-1,0)))+IF(OR(H13="",H15=""),0,IF(H13&lt;H15,1,IF(H15&lt;H13,-1,0)))+IF(OR(I13="",I15=""),0,IF(I13&lt;I15,1,IF(I15&lt;I13,-1,0)))+IF(OR(J13="",J15=""),0,IF(J13&lt;J15,1,IF(J15&lt;J13,-1,0))))&gt;0,"Status: Player 3 UP "&amp;(IF(OR(B13="",B15=""),0,IF(B13&lt;B15,1,IF(B15&lt;B13,-1,0)))+IF(OR(C13="",C15=""),0,IF(C13&lt;C15,1,IF(C15&lt;C13,-1,0)))+IF(OR(D13="",D15=""),0,IF(D13&lt;D15,1,IF(D15&lt;D13,-1,0)))+IF(OR(E13="",E15=""),0,IF(E13&lt;E15,1,IF(E15&lt;E13,-1,0)))+IF(OR(F13="",F15=""),0,IF(F13&lt;F15,1,IF(F15&lt;F13,-1,0)))+IF(OR(G13="",G15=""),0,IF(G13&lt;G15,1,IF(G15&lt;G13,-1,0)))+IF(OR(H13="",H15=""),0,IF(H13&lt;H15,1,IF(H15&lt;H13,-1,0)))+IF(OR(I13="",I15=""),0,IF(I13&lt;I15,1,IF(I15&lt;I13,-1,0)))+IF(OR(J13="",J15=""),0,IF(J13&lt;J15,1,IF(J15&lt;J13,-1,0)))),"Status: Player 4 UP "&amp;ABS((IF(OR(B13="",B15=""),0,IF(B13&lt;B15,1,IF(B15&lt;B13,-1,0)))+IF(OR(C13="",C15=""),0,IF(C13&lt;C15,1,IF(C15&lt;C13,-1,0)))+IF(OR(D13="",D15=""),0,IF(D13&lt;D15,1,IF(D15&lt;D13,-1,0)))+IF(OR(E13="",E15=""),0,IF(E13&lt;E15,1,IF(E15&lt;E13,-1,0)))+IF(OR(F13="",F15=""),0,IF(F13&lt;F15,1,IF(F15&lt;F13,-1,0)))+IF(OR(G13="",G15=""),0,IF(G13&lt;G15,1,IF(G15&lt;G13,-1,0)))+IF(OR(H13="",H15=""),0,IF(H13&lt;H15,1,IF(H15&lt;H13,-1,0)))+IF(OR(I13="",I15=""),0,IF(I13&lt;I15,1,IF(I15&lt;I13,-1,0)))+IF(OR(J13="",J15=""),0,IF(J13&lt;J15,1,IF(J15&lt;J13,-1,0))))))))</f>
        <v>Status: AS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</row>
    <row r="25" spans="1:13" ht="24" customHeight="1" x14ac:dyDescent="0.35"/>
    <row r="26" spans="1:13" ht="24" customHeight="1" x14ac:dyDescent="0.35"/>
    <row r="27" spans="1:13" ht="24" customHeight="1" x14ac:dyDescent="0.35">
      <c r="A27" s="15" t="s">
        <v>20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</row>
    <row r="28" spans="1:13" ht="24" customHeight="1" x14ac:dyDescent="0.35">
      <c r="A28" s="8" t="s">
        <v>21</v>
      </c>
      <c r="B28" s="9"/>
      <c r="C28" s="9"/>
      <c r="D28" s="9"/>
      <c r="E28" s="9"/>
      <c r="F28" s="9"/>
      <c r="G28" s="9"/>
      <c r="H28" s="9"/>
      <c r="I28" s="9"/>
      <c r="J28" s="9"/>
      <c r="K28" s="10"/>
      <c r="L28" s="10"/>
      <c r="M28" s="10"/>
    </row>
    <row r="29" spans="1:13" ht="24" customHeight="1" x14ac:dyDescent="0.35">
      <c r="A29" s="8" t="s">
        <v>22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1" t="s">
        <v>23</v>
      </c>
      <c r="M29" s="11" t="s">
        <v>24</v>
      </c>
    </row>
    <row r="30" spans="1:13" ht="24" customHeight="1" x14ac:dyDescent="0.35">
      <c r="L30" s="8" t="s">
        <v>25</v>
      </c>
      <c r="M30" s="12">
        <f>COUNTIF(B28:J28,"Player 1")</f>
        <v>0</v>
      </c>
    </row>
    <row r="31" spans="1:13" ht="24" customHeight="1" x14ac:dyDescent="0.35">
      <c r="L31" s="8" t="s">
        <v>26</v>
      </c>
      <c r="M31" s="12">
        <f>COUNTIF(B28:J28,"Player 2")</f>
        <v>0</v>
      </c>
    </row>
    <row r="32" spans="1:13" ht="24" customHeight="1" x14ac:dyDescent="0.35">
      <c r="L32" s="8" t="s">
        <v>27</v>
      </c>
      <c r="M32" s="12">
        <f>COUNTIF(B28:J28,"Player 3")</f>
        <v>0</v>
      </c>
    </row>
    <row r="33" spans="12:13" ht="24" customHeight="1" x14ac:dyDescent="0.35">
      <c r="L33" s="8" t="s">
        <v>28</v>
      </c>
      <c r="M33" s="12">
        <f>COUNTIF(B28:J28,"Player 4")</f>
        <v>0</v>
      </c>
    </row>
    <row r="34" spans="12:13" ht="24" customHeight="1" x14ac:dyDescent="0.35"/>
    <row r="35" spans="12:13" ht="24" customHeight="1" x14ac:dyDescent="0.35"/>
    <row r="36" spans="12:13" ht="24" customHeight="1" x14ac:dyDescent="0.35"/>
    <row r="37" spans="12:13" ht="24" customHeight="1" x14ac:dyDescent="0.35"/>
    <row r="38" spans="12:13" ht="24" customHeight="1" x14ac:dyDescent="0.35"/>
    <row r="39" spans="12:13" ht="24" customHeight="1" x14ac:dyDescent="0.35"/>
    <row r="40" spans="12:13" ht="24" customHeight="1" x14ac:dyDescent="0.35"/>
    <row r="41" spans="12:13" ht="24" customHeight="1" x14ac:dyDescent="0.35"/>
    <row r="42" spans="12:13" ht="24" customHeight="1" x14ac:dyDescent="0.35"/>
    <row r="43" spans="12:13" ht="24" customHeight="1" x14ac:dyDescent="0.35"/>
    <row r="44" spans="12:13" ht="24" customHeight="1" x14ac:dyDescent="0.35"/>
    <row r="45" spans="12:13" ht="24" customHeight="1" x14ac:dyDescent="0.35"/>
    <row r="46" spans="12:13" ht="24" customHeight="1" x14ac:dyDescent="0.35"/>
    <row r="47" spans="12:13" ht="24" customHeight="1" x14ac:dyDescent="0.35"/>
    <row r="48" spans="12:13" ht="24" customHeight="1" x14ac:dyDescent="0.35"/>
    <row r="49" ht="24" customHeight="1" x14ac:dyDescent="0.35"/>
    <row r="50" ht="24" customHeight="1" x14ac:dyDescent="0.35"/>
    <row r="51" ht="24" customHeight="1" x14ac:dyDescent="0.35"/>
    <row r="52" ht="24" customHeight="1" x14ac:dyDescent="0.35"/>
    <row r="53" ht="24" customHeight="1" x14ac:dyDescent="0.35"/>
    <row r="54" ht="24" customHeight="1" x14ac:dyDescent="0.35"/>
    <row r="55" ht="24" customHeight="1" x14ac:dyDescent="0.35"/>
    <row r="56" ht="24" customHeight="1" x14ac:dyDescent="0.35"/>
    <row r="57" ht="24" customHeight="1" x14ac:dyDescent="0.35"/>
    <row r="58" ht="24" customHeight="1" x14ac:dyDescent="0.35"/>
    <row r="59" ht="24" customHeight="1" x14ac:dyDescent="0.35"/>
  </sheetData>
  <mergeCells count="8">
    <mergeCell ref="A1:M1"/>
    <mergeCell ref="A27:M27"/>
    <mergeCell ref="A22:M22"/>
    <mergeCell ref="A17:M17"/>
    <mergeCell ref="A18:M18"/>
    <mergeCell ref="A20:M20"/>
    <mergeCell ref="A24:M24"/>
    <mergeCell ref="A2:M2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 Play (9 Holes)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Alcarese</cp:lastModifiedBy>
  <dcterms:created xsi:type="dcterms:W3CDTF">2026-01-03T15:14:51Z</dcterms:created>
  <dcterms:modified xsi:type="dcterms:W3CDTF">2026-01-03T15:20:39Z</dcterms:modified>
</cp:coreProperties>
</file>