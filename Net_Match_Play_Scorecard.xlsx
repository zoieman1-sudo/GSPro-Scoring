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modulargroupeast-my.sharepoint.com/personal/andy_alcarese_usmge_com/Documents/Temp Folder Before Doc is Filed/"/>
    </mc:Choice>
  </mc:AlternateContent>
  <xr:revisionPtr revIDLastSave="2" documentId="11_FD8FA42496576ECEEB3B98154B5DCE3AA7C4F4CA" xr6:coauthVersionLast="47" xr6:coauthVersionMax="47" xr10:uidLastSave="{DD826608-E63A-4E06-BCA9-739B7887371C}"/>
  <bookViews>
    <workbookView xWindow="-110" yWindow="-110" windowWidth="19420" windowHeight="11500" xr2:uid="{00000000-000D-0000-FFFF-FFFF00000000}"/>
  </bookViews>
  <sheets>
    <sheet name="Net Match Pl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H36" i="1"/>
  <c r="L36" i="1" s="1"/>
  <c r="M36" i="1" s="1"/>
  <c r="C36" i="1"/>
  <c r="I35" i="1"/>
  <c r="H35" i="1"/>
  <c r="L35" i="1" s="1"/>
  <c r="M35" i="1" s="1"/>
  <c r="C35" i="1"/>
  <c r="L34" i="1"/>
  <c r="M34" i="1" s="1"/>
  <c r="I34" i="1"/>
  <c r="H34" i="1"/>
  <c r="C34" i="1"/>
  <c r="I33" i="1"/>
  <c r="H33" i="1"/>
  <c r="L33" i="1" s="1"/>
  <c r="M33" i="1" s="1"/>
  <c r="C33" i="1"/>
  <c r="I32" i="1"/>
  <c r="H32" i="1"/>
  <c r="L32" i="1" s="1"/>
  <c r="M32" i="1" s="1"/>
  <c r="C32" i="1"/>
  <c r="I31" i="1"/>
  <c r="H31" i="1"/>
  <c r="L31" i="1" s="1"/>
  <c r="M31" i="1" s="1"/>
  <c r="C31" i="1"/>
  <c r="I30" i="1"/>
  <c r="H30" i="1"/>
  <c r="L30" i="1" s="1"/>
  <c r="M30" i="1" s="1"/>
  <c r="C30" i="1"/>
  <c r="I29" i="1"/>
  <c r="H29" i="1"/>
  <c r="L29" i="1" s="1"/>
  <c r="M29" i="1" s="1"/>
  <c r="C29" i="1"/>
  <c r="I28" i="1"/>
  <c r="H28" i="1"/>
  <c r="L28" i="1" s="1"/>
  <c r="M28" i="1" s="1"/>
  <c r="C28" i="1"/>
  <c r="I27" i="1"/>
  <c r="H27" i="1"/>
  <c r="L27" i="1" s="1"/>
  <c r="M27" i="1" s="1"/>
  <c r="C27" i="1"/>
  <c r="I26" i="1"/>
  <c r="H26" i="1"/>
  <c r="L26" i="1" s="1"/>
  <c r="M26" i="1" s="1"/>
  <c r="C26" i="1"/>
  <c r="I25" i="1"/>
  <c r="H25" i="1"/>
  <c r="L25" i="1" s="1"/>
  <c r="M25" i="1" s="1"/>
  <c r="C25" i="1"/>
  <c r="I24" i="1"/>
  <c r="H24" i="1"/>
  <c r="L24" i="1" s="1"/>
  <c r="M24" i="1" s="1"/>
  <c r="C24" i="1"/>
  <c r="M23" i="1"/>
  <c r="L23" i="1"/>
  <c r="I23" i="1"/>
  <c r="H23" i="1"/>
  <c r="C23" i="1"/>
  <c r="I22" i="1"/>
  <c r="H22" i="1"/>
  <c r="L22" i="1" s="1"/>
  <c r="M22" i="1" s="1"/>
  <c r="C22" i="1"/>
  <c r="I21" i="1"/>
  <c r="H21" i="1"/>
  <c r="L21" i="1" s="1"/>
  <c r="M21" i="1" s="1"/>
  <c r="C21" i="1"/>
  <c r="I20" i="1"/>
  <c r="H20" i="1"/>
  <c r="L20" i="1" s="1"/>
  <c r="M20" i="1" s="1"/>
  <c r="C20" i="1"/>
  <c r="I19" i="1"/>
  <c r="H19" i="1"/>
  <c r="L19" i="1" s="1"/>
  <c r="M19" i="1" s="1"/>
  <c r="C19" i="1"/>
  <c r="E12" i="1"/>
  <c r="B12" i="1"/>
  <c r="G36" i="1" l="1"/>
  <c r="K36" i="1" s="1"/>
  <c r="G21" i="1"/>
  <c r="K21" i="1" s="1"/>
  <c r="G34" i="1"/>
  <c r="K34" i="1" s="1"/>
  <c r="G28" i="1"/>
  <c r="K28" i="1" s="1"/>
  <c r="G26" i="1"/>
  <c r="K26" i="1" s="1"/>
  <c r="G19" i="1"/>
  <c r="K19" i="1" s="1"/>
  <c r="G30" i="1"/>
  <c r="K30" i="1" s="1"/>
  <c r="G31" i="1"/>
  <c r="K31" i="1" s="1"/>
  <c r="G27" i="1"/>
  <c r="K27" i="1" s="1"/>
  <c r="G29" i="1"/>
  <c r="K29" i="1" s="1"/>
  <c r="G24" i="1"/>
  <c r="K24" i="1" s="1"/>
  <c r="G22" i="1"/>
  <c r="K22" i="1" s="1"/>
  <c r="G35" i="1"/>
  <c r="K35" i="1" s="1"/>
  <c r="G23" i="1"/>
  <c r="K23" i="1" s="1"/>
  <c r="G33" i="1"/>
  <c r="K33" i="1" s="1"/>
  <c r="G25" i="1"/>
  <c r="K25" i="1" s="1"/>
  <c r="G32" i="1"/>
  <c r="K32" i="1" s="1"/>
  <c r="G20" i="1"/>
  <c r="K20" i="1" s="1"/>
  <c r="F23" i="1"/>
  <c r="J23" i="1" s="1"/>
  <c r="F21" i="1"/>
  <c r="J21" i="1" s="1"/>
  <c r="B14" i="1"/>
  <c r="B15" i="1" s="1"/>
  <c r="F22" i="1"/>
  <c r="J22" i="1" s="1"/>
  <c r="F31" i="1"/>
  <c r="J31" i="1" s="1"/>
  <c r="F19" i="1"/>
  <c r="J19" i="1" s="1"/>
  <c r="F35" i="1"/>
  <c r="J35" i="1" s="1"/>
  <c r="F32" i="1"/>
  <c r="J32" i="1" s="1"/>
  <c r="F36" i="1"/>
  <c r="J36" i="1" s="1"/>
  <c r="F33" i="1"/>
  <c r="J33" i="1" s="1"/>
  <c r="F34" i="1"/>
  <c r="J34" i="1" s="1"/>
  <c r="F24" i="1"/>
  <c r="J24" i="1" s="1"/>
  <c r="F26" i="1"/>
  <c r="J26" i="1" s="1"/>
  <c r="F29" i="1"/>
  <c r="J29" i="1" s="1"/>
  <c r="F28" i="1"/>
  <c r="J28" i="1" s="1"/>
  <c r="F30" i="1"/>
  <c r="J30" i="1" s="1"/>
  <c r="F25" i="1"/>
  <c r="J25" i="1" s="1"/>
  <c r="F27" i="1"/>
  <c r="J27" i="1" s="1"/>
  <c r="F20" i="1"/>
  <c r="J20" i="1" s="1"/>
</calcChain>
</file>

<file path=xl/sharedStrings.xml><?xml version="1.0" encoding="utf-8"?>
<sst xmlns="http://schemas.openxmlformats.org/spreadsheetml/2006/main" count="27" uniqueCount="27">
  <si>
    <t>A Handicap Index</t>
  </si>
  <si>
    <t>B Handicap Index</t>
  </si>
  <si>
    <t>Match Allowance %</t>
  </si>
  <si>
    <t>A Tee Slope</t>
  </si>
  <si>
    <t>B Tee Slope</t>
  </si>
  <si>
    <t>A Course Rating</t>
  </si>
  <si>
    <t>B Course Rating</t>
  </si>
  <si>
    <t>A Par</t>
  </si>
  <si>
    <t>B Par</t>
  </si>
  <si>
    <t>Same Tees? (TRUE/FALSE)</t>
  </si>
  <si>
    <t>A Course Handicap</t>
  </si>
  <si>
    <t>B Course Handicap</t>
  </si>
  <si>
    <t>Raw CHC Diff</t>
  </si>
  <si>
    <t>Allowed Diff</t>
  </si>
  <si>
    <t>Hole</t>
  </si>
  <si>
    <t>Par</t>
  </si>
  <si>
    <t>Hole HCP</t>
  </si>
  <si>
    <t>A Gross</t>
  </si>
  <si>
    <t>B Gross</t>
  </si>
  <si>
    <t>A Strokes</t>
  </si>
  <si>
    <t>B Strokes</t>
  </si>
  <si>
    <t>A Net</t>
  </si>
  <si>
    <t>B Net</t>
  </si>
  <si>
    <t>Net Par A</t>
  </si>
  <si>
    <t>Net Par B</t>
  </si>
  <si>
    <t>Hole Result</t>
  </si>
  <si>
    <t>Match (A +/-)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</si>
</sst>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16" workbookViewId="0">
      <selection activeCell="B38" sqref="B38"/>
    </sheetView>
  </sheetViews>
  <sheetFormatPr defaultRowHeight="14.5" x14ac:dyDescent="0.35"/>
  <cols>
    <col min="1" max="1" width="22.54296875" bestFit="1" customWidth="1"/>
    <col min="2" max="2" width="5.1796875" bestFit="1" customWidth="1"/>
    <col min="3" max="3" width="8.453125" bestFit="1" customWidth="1"/>
    <col min="4" max="4" width="16.54296875" bestFit="1" customWidth="1"/>
    <col min="5" max="5" width="7.08984375" bestFit="1" customWidth="1"/>
    <col min="6" max="6" width="8.54296875" bestFit="1" customWidth="1"/>
    <col min="7" max="7" width="8.453125" bestFit="1" customWidth="1"/>
    <col min="8" max="8" width="5.36328125" bestFit="1" customWidth="1"/>
    <col min="9" max="9" width="5.26953125" bestFit="1" customWidth="1"/>
    <col min="10" max="10" width="8.54296875" bestFit="1" customWidth="1"/>
    <col min="11" max="11" width="8.453125" bestFit="1" customWidth="1"/>
    <col min="12" max="12" width="10.1796875" bestFit="1" customWidth="1"/>
    <col min="13" max="13" width="11.90625" bestFit="1" customWidth="1"/>
  </cols>
  <sheetData>
    <row r="1" spans="1:13" x14ac:dyDescent="0.35">
      <c r="A1" t="s">
        <v>0</v>
      </c>
      <c r="B1">
        <v>8.4</v>
      </c>
    </row>
    <row r="2" spans="1:13" x14ac:dyDescent="0.35">
      <c r="A2" t="s">
        <v>1</v>
      </c>
      <c r="B2">
        <v>14.2</v>
      </c>
    </row>
    <row r="4" spans="1:13" x14ac:dyDescent="0.35">
      <c r="A4" t="s">
        <v>2</v>
      </c>
      <c r="B4">
        <v>1</v>
      </c>
      <c r="M4">
        <v>0.75</v>
      </c>
    </row>
    <row r="5" spans="1:13" x14ac:dyDescent="0.35">
      <c r="M5">
        <v>0.8</v>
      </c>
    </row>
    <row r="6" spans="1:13" x14ac:dyDescent="0.35">
      <c r="A6" t="s">
        <v>3</v>
      </c>
      <c r="B6">
        <v>132</v>
      </c>
      <c r="D6" t="s">
        <v>4</v>
      </c>
      <c r="E6">
        <v>125</v>
      </c>
      <c r="M6">
        <v>0.85</v>
      </c>
    </row>
    <row r="7" spans="1:13" x14ac:dyDescent="0.35">
      <c r="A7" t="s">
        <v>5</v>
      </c>
      <c r="B7">
        <v>71.599999999999994</v>
      </c>
      <c r="D7" t="s">
        <v>6</v>
      </c>
      <c r="E7">
        <v>70.2</v>
      </c>
      <c r="M7">
        <v>0.9</v>
      </c>
    </row>
    <row r="8" spans="1:13" x14ac:dyDescent="0.35">
      <c r="A8" t="s">
        <v>7</v>
      </c>
      <c r="B8">
        <v>72</v>
      </c>
      <c r="D8" t="s">
        <v>8</v>
      </c>
      <c r="E8">
        <v>72</v>
      </c>
      <c r="M8">
        <v>0.95</v>
      </c>
    </row>
    <row r="9" spans="1:13" x14ac:dyDescent="0.35">
      <c r="M9">
        <v>1</v>
      </c>
    </row>
    <row r="10" spans="1:13" x14ac:dyDescent="0.35">
      <c r="A10" t="s">
        <v>9</v>
      </c>
      <c r="B10" t="b">
        <v>1</v>
      </c>
    </row>
    <row r="12" spans="1:13" x14ac:dyDescent="0.35">
      <c r="A12" t="s">
        <v>10</v>
      </c>
      <c r="B12">
        <f>ROUND(B1*(IF(B10,B6,B6)/113)+(IF(B10,B7,B7)-IF(B10,B8,B8)),0)</f>
        <v>9</v>
      </c>
      <c r="D12" t="s">
        <v>11</v>
      </c>
      <c r="E12">
        <f>ROUND(B2*(IF(B10,B6,E6)/113)+(IF(B10,B7,E7)-IF(B10,B8,E8)),0)</f>
        <v>16</v>
      </c>
    </row>
    <row r="14" spans="1:13" x14ac:dyDescent="0.35">
      <c r="A14" t="s">
        <v>12</v>
      </c>
      <c r="B14">
        <f>ABS(B12-E12)</f>
        <v>7</v>
      </c>
    </row>
    <row r="15" spans="1:13" x14ac:dyDescent="0.35">
      <c r="A15" t="s">
        <v>13</v>
      </c>
      <c r="B15">
        <f>ROUND(B14*B4,0)</f>
        <v>7</v>
      </c>
    </row>
    <row r="18" spans="1:13" x14ac:dyDescent="0.35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26</v>
      </c>
    </row>
    <row r="19" spans="1:13" x14ac:dyDescent="0.35">
      <c r="A19">
        <v>1</v>
      </c>
      <c r="B19">
        <v>4</v>
      </c>
      <c r="C19" t="e">
        <f t="shared" ref="C19:C36" ca="1" si="0">RANK(RAND(),_xludf.RANDARRAY(18))</f>
        <v>#NAME?</v>
      </c>
      <c r="F19">
        <f t="shared" ref="F19:F36" si="1">IF($B$12&lt;=$E$12,0,QUOTIENT($B$15,18)+IF(C19&lt;=MOD($B$15,18),1,0))</f>
        <v>0</v>
      </c>
      <c r="G19" t="e">
        <f t="shared" ref="G19:G36" ca="1" si="2">IF($E$12&lt;=$B$12,0,QUOTIENT($B$15,18)+IF(C19&lt;=MOD($B$15,18),1,0))</f>
        <v>#NAME?</v>
      </c>
      <c r="H19" t="str">
        <f t="shared" ref="H19:H36" si="3">IF(D19="","",D19-F19)</f>
        <v/>
      </c>
      <c r="I19" t="str">
        <f t="shared" ref="I19:I36" si="4">IF(E19="","",E19-G19)</f>
        <v/>
      </c>
      <c r="J19">
        <f t="shared" ref="J19:J36" si="5">B19-F19</f>
        <v>4</v>
      </c>
      <c r="K19" t="e">
        <f t="shared" ref="K19:K36" ca="1" si="6">B19-G19</f>
        <v>#NAME?</v>
      </c>
      <c r="L19" t="str">
        <f t="shared" ref="L19:L36" si="7">IF(OR(H19="",I19=""),"",IF(H19&lt;I19,"A",IF(I19&lt;H19,"B","Halved")))</f>
        <v/>
      </c>
      <c r="M19" t="str">
        <f>IF(L19="","",IF(L19="A",1,IF(L19="B",-1,0)))</f>
        <v/>
      </c>
    </row>
    <row r="20" spans="1:13" x14ac:dyDescent="0.35">
      <c r="A20">
        <v>2</v>
      </c>
      <c r="B20">
        <v>4</v>
      </c>
      <c r="C20" t="e">
        <f t="shared" ca="1" si="0"/>
        <v>#NAME?</v>
      </c>
      <c r="F20">
        <f t="shared" si="1"/>
        <v>0</v>
      </c>
      <c r="G20" t="e">
        <f t="shared" ca="1" si="2"/>
        <v>#NAME?</v>
      </c>
      <c r="H20" t="str">
        <f t="shared" si="3"/>
        <v/>
      </c>
      <c r="I20" t="str">
        <f t="shared" si="4"/>
        <v/>
      </c>
      <c r="J20">
        <f t="shared" si="5"/>
        <v>4</v>
      </c>
      <c r="K20" t="e">
        <f t="shared" ca="1" si="6"/>
        <v>#NAME?</v>
      </c>
      <c r="L20" t="str">
        <f t="shared" si="7"/>
        <v/>
      </c>
      <c r="M20" t="str">
        <f t="shared" ref="M20:M36" si="8">IF(L20="","",M19+IF(L20="A",1,IF(L20="B",-1,0)))</f>
        <v/>
      </c>
    </row>
    <row r="21" spans="1:13" x14ac:dyDescent="0.35">
      <c r="A21">
        <v>3</v>
      </c>
      <c r="B21">
        <v>4</v>
      </c>
      <c r="C21" t="e">
        <f t="shared" ca="1" si="0"/>
        <v>#NAME?</v>
      </c>
      <c r="F21">
        <f t="shared" si="1"/>
        <v>0</v>
      </c>
      <c r="G21" t="e">
        <f t="shared" ca="1" si="2"/>
        <v>#NAME?</v>
      </c>
      <c r="H21" t="str">
        <f t="shared" si="3"/>
        <v/>
      </c>
      <c r="I21" t="str">
        <f t="shared" si="4"/>
        <v/>
      </c>
      <c r="J21">
        <f t="shared" si="5"/>
        <v>4</v>
      </c>
      <c r="K21" t="e">
        <f t="shared" ca="1" si="6"/>
        <v>#NAME?</v>
      </c>
      <c r="L21" t="str">
        <f t="shared" si="7"/>
        <v/>
      </c>
      <c r="M21" t="str">
        <f t="shared" si="8"/>
        <v/>
      </c>
    </row>
    <row r="22" spans="1:13" x14ac:dyDescent="0.35">
      <c r="A22">
        <v>4</v>
      </c>
      <c r="B22">
        <v>4</v>
      </c>
      <c r="C22" t="e">
        <f t="shared" ca="1" si="0"/>
        <v>#NAME?</v>
      </c>
      <c r="F22">
        <f t="shared" si="1"/>
        <v>0</v>
      </c>
      <c r="G22" t="e">
        <f t="shared" ca="1" si="2"/>
        <v>#NAME?</v>
      </c>
      <c r="H22" t="str">
        <f t="shared" si="3"/>
        <v/>
      </c>
      <c r="I22" t="str">
        <f t="shared" si="4"/>
        <v/>
      </c>
      <c r="J22">
        <f t="shared" si="5"/>
        <v>4</v>
      </c>
      <c r="K22" t="e">
        <f t="shared" ca="1" si="6"/>
        <v>#NAME?</v>
      </c>
      <c r="L22" t="str">
        <f t="shared" si="7"/>
        <v/>
      </c>
      <c r="M22" t="str">
        <f t="shared" si="8"/>
        <v/>
      </c>
    </row>
    <row r="23" spans="1:13" x14ac:dyDescent="0.35">
      <c r="A23">
        <v>5</v>
      </c>
      <c r="B23">
        <v>4</v>
      </c>
      <c r="C23" t="e">
        <f t="shared" ca="1" si="0"/>
        <v>#NAME?</v>
      </c>
      <c r="F23">
        <f t="shared" si="1"/>
        <v>0</v>
      </c>
      <c r="G23" t="e">
        <f t="shared" ca="1" si="2"/>
        <v>#NAME?</v>
      </c>
      <c r="H23" t="str">
        <f t="shared" si="3"/>
        <v/>
      </c>
      <c r="I23" t="str">
        <f t="shared" si="4"/>
        <v/>
      </c>
      <c r="J23">
        <f t="shared" si="5"/>
        <v>4</v>
      </c>
      <c r="K23" t="e">
        <f t="shared" ca="1" si="6"/>
        <v>#NAME?</v>
      </c>
      <c r="L23" t="str">
        <f t="shared" si="7"/>
        <v/>
      </c>
      <c r="M23" t="str">
        <f t="shared" si="8"/>
        <v/>
      </c>
    </row>
    <row r="24" spans="1:13" x14ac:dyDescent="0.35">
      <c r="A24">
        <v>6</v>
      </c>
      <c r="B24">
        <v>4</v>
      </c>
      <c r="C24" t="e">
        <f t="shared" ca="1" si="0"/>
        <v>#NAME?</v>
      </c>
      <c r="F24">
        <f t="shared" si="1"/>
        <v>0</v>
      </c>
      <c r="G24" t="e">
        <f t="shared" ca="1" si="2"/>
        <v>#NAME?</v>
      </c>
      <c r="H24" t="str">
        <f t="shared" si="3"/>
        <v/>
      </c>
      <c r="I24" t="str">
        <f t="shared" si="4"/>
        <v/>
      </c>
      <c r="J24">
        <f t="shared" si="5"/>
        <v>4</v>
      </c>
      <c r="K24" t="e">
        <f t="shared" ca="1" si="6"/>
        <v>#NAME?</v>
      </c>
      <c r="L24" t="str">
        <f t="shared" si="7"/>
        <v/>
      </c>
      <c r="M24" t="str">
        <f t="shared" si="8"/>
        <v/>
      </c>
    </row>
    <row r="25" spans="1:13" x14ac:dyDescent="0.35">
      <c r="A25">
        <v>7</v>
      </c>
      <c r="B25">
        <v>4</v>
      </c>
      <c r="C25" t="e">
        <f t="shared" ca="1" si="0"/>
        <v>#NAME?</v>
      </c>
      <c r="F25">
        <f t="shared" si="1"/>
        <v>0</v>
      </c>
      <c r="G25" t="e">
        <f t="shared" ca="1" si="2"/>
        <v>#NAME?</v>
      </c>
      <c r="H25" t="str">
        <f t="shared" si="3"/>
        <v/>
      </c>
      <c r="I25" t="str">
        <f t="shared" si="4"/>
        <v/>
      </c>
      <c r="J25">
        <f t="shared" si="5"/>
        <v>4</v>
      </c>
      <c r="K25" t="e">
        <f t="shared" ca="1" si="6"/>
        <v>#NAME?</v>
      </c>
      <c r="L25" t="str">
        <f t="shared" si="7"/>
        <v/>
      </c>
      <c r="M25" t="str">
        <f t="shared" si="8"/>
        <v/>
      </c>
    </row>
    <row r="26" spans="1:13" x14ac:dyDescent="0.35">
      <c r="A26">
        <v>8</v>
      </c>
      <c r="B26">
        <v>4</v>
      </c>
      <c r="C26" t="e">
        <f t="shared" ca="1" si="0"/>
        <v>#NAME?</v>
      </c>
      <c r="F26">
        <f t="shared" si="1"/>
        <v>0</v>
      </c>
      <c r="G26" t="e">
        <f t="shared" ca="1" si="2"/>
        <v>#NAME?</v>
      </c>
      <c r="H26" t="str">
        <f t="shared" si="3"/>
        <v/>
      </c>
      <c r="I26" t="str">
        <f t="shared" si="4"/>
        <v/>
      </c>
      <c r="J26">
        <f t="shared" si="5"/>
        <v>4</v>
      </c>
      <c r="K26" t="e">
        <f t="shared" ca="1" si="6"/>
        <v>#NAME?</v>
      </c>
      <c r="L26" t="str">
        <f t="shared" si="7"/>
        <v/>
      </c>
      <c r="M26" t="str">
        <f t="shared" si="8"/>
        <v/>
      </c>
    </row>
    <row r="27" spans="1:13" x14ac:dyDescent="0.35">
      <c r="A27">
        <v>9</v>
      </c>
      <c r="B27">
        <v>4</v>
      </c>
      <c r="C27" t="e">
        <f t="shared" ca="1" si="0"/>
        <v>#NAME?</v>
      </c>
      <c r="F27">
        <f t="shared" si="1"/>
        <v>0</v>
      </c>
      <c r="G27" t="e">
        <f t="shared" ca="1" si="2"/>
        <v>#NAME?</v>
      </c>
      <c r="H27" t="str">
        <f t="shared" si="3"/>
        <v/>
      </c>
      <c r="I27" t="str">
        <f t="shared" si="4"/>
        <v/>
      </c>
      <c r="J27">
        <f t="shared" si="5"/>
        <v>4</v>
      </c>
      <c r="K27" t="e">
        <f t="shared" ca="1" si="6"/>
        <v>#NAME?</v>
      </c>
      <c r="L27" t="str">
        <f t="shared" si="7"/>
        <v/>
      </c>
      <c r="M27" t="str">
        <f t="shared" si="8"/>
        <v/>
      </c>
    </row>
    <row r="28" spans="1:13" x14ac:dyDescent="0.35">
      <c r="A28">
        <v>10</v>
      </c>
      <c r="B28">
        <v>4</v>
      </c>
      <c r="C28" t="e">
        <f t="shared" ca="1" si="0"/>
        <v>#NAME?</v>
      </c>
      <c r="F28">
        <f t="shared" si="1"/>
        <v>0</v>
      </c>
      <c r="G28" t="e">
        <f t="shared" ca="1" si="2"/>
        <v>#NAME?</v>
      </c>
      <c r="H28" t="str">
        <f t="shared" si="3"/>
        <v/>
      </c>
      <c r="I28" t="str">
        <f t="shared" si="4"/>
        <v/>
      </c>
      <c r="J28">
        <f t="shared" si="5"/>
        <v>4</v>
      </c>
      <c r="K28" t="e">
        <f t="shared" ca="1" si="6"/>
        <v>#NAME?</v>
      </c>
      <c r="L28" t="str">
        <f t="shared" si="7"/>
        <v/>
      </c>
      <c r="M28" t="str">
        <f t="shared" si="8"/>
        <v/>
      </c>
    </row>
    <row r="29" spans="1:13" x14ac:dyDescent="0.35">
      <c r="A29">
        <v>11</v>
      </c>
      <c r="B29">
        <v>4</v>
      </c>
      <c r="C29" t="e">
        <f t="shared" ca="1" si="0"/>
        <v>#NAME?</v>
      </c>
      <c r="F29">
        <f t="shared" si="1"/>
        <v>0</v>
      </c>
      <c r="G29" t="e">
        <f t="shared" ca="1" si="2"/>
        <v>#NAME?</v>
      </c>
      <c r="H29" t="str">
        <f t="shared" si="3"/>
        <v/>
      </c>
      <c r="I29" t="str">
        <f t="shared" si="4"/>
        <v/>
      </c>
      <c r="J29">
        <f t="shared" si="5"/>
        <v>4</v>
      </c>
      <c r="K29" t="e">
        <f t="shared" ca="1" si="6"/>
        <v>#NAME?</v>
      </c>
      <c r="L29" t="str">
        <f t="shared" si="7"/>
        <v/>
      </c>
      <c r="M29" t="str">
        <f t="shared" si="8"/>
        <v/>
      </c>
    </row>
    <row r="30" spans="1:13" x14ac:dyDescent="0.35">
      <c r="A30">
        <v>12</v>
      </c>
      <c r="B30">
        <v>4</v>
      </c>
      <c r="C30" t="e">
        <f t="shared" ca="1" si="0"/>
        <v>#NAME?</v>
      </c>
      <c r="F30">
        <f t="shared" si="1"/>
        <v>0</v>
      </c>
      <c r="G30" t="e">
        <f t="shared" ca="1" si="2"/>
        <v>#NAME?</v>
      </c>
      <c r="H30" t="str">
        <f t="shared" si="3"/>
        <v/>
      </c>
      <c r="I30" t="str">
        <f t="shared" si="4"/>
        <v/>
      </c>
      <c r="J30">
        <f t="shared" si="5"/>
        <v>4</v>
      </c>
      <c r="K30" t="e">
        <f t="shared" ca="1" si="6"/>
        <v>#NAME?</v>
      </c>
      <c r="L30" t="str">
        <f t="shared" si="7"/>
        <v/>
      </c>
      <c r="M30" t="str">
        <f t="shared" si="8"/>
        <v/>
      </c>
    </row>
    <row r="31" spans="1:13" x14ac:dyDescent="0.35">
      <c r="A31">
        <v>13</v>
      </c>
      <c r="B31">
        <v>4</v>
      </c>
      <c r="C31" t="e">
        <f t="shared" ca="1" si="0"/>
        <v>#NAME?</v>
      </c>
      <c r="F31">
        <f t="shared" si="1"/>
        <v>0</v>
      </c>
      <c r="G31" t="e">
        <f t="shared" ca="1" si="2"/>
        <v>#NAME?</v>
      </c>
      <c r="H31" t="str">
        <f t="shared" si="3"/>
        <v/>
      </c>
      <c r="I31" t="str">
        <f t="shared" si="4"/>
        <v/>
      </c>
      <c r="J31">
        <f t="shared" si="5"/>
        <v>4</v>
      </c>
      <c r="K31" t="e">
        <f t="shared" ca="1" si="6"/>
        <v>#NAME?</v>
      </c>
      <c r="L31" t="str">
        <f t="shared" si="7"/>
        <v/>
      </c>
      <c r="M31" t="str">
        <f t="shared" si="8"/>
        <v/>
      </c>
    </row>
    <row r="32" spans="1:13" x14ac:dyDescent="0.35">
      <c r="A32">
        <v>14</v>
      </c>
      <c r="B32">
        <v>4</v>
      </c>
      <c r="C32" t="e">
        <f t="shared" ca="1" si="0"/>
        <v>#NAME?</v>
      </c>
      <c r="F32">
        <f t="shared" si="1"/>
        <v>0</v>
      </c>
      <c r="G32" t="e">
        <f t="shared" ca="1" si="2"/>
        <v>#NAME?</v>
      </c>
      <c r="H32" t="str">
        <f t="shared" si="3"/>
        <v/>
      </c>
      <c r="I32" t="str">
        <f t="shared" si="4"/>
        <v/>
      </c>
      <c r="J32">
        <f t="shared" si="5"/>
        <v>4</v>
      </c>
      <c r="K32" t="e">
        <f t="shared" ca="1" si="6"/>
        <v>#NAME?</v>
      </c>
      <c r="L32" t="str">
        <f t="shared" si="7"/>
        <v/>
      </c>
      <c r="M32" t="str">
        <f t="shared" si="8"/>
        <v/>
      </c>
    </row>
    <row r="33" spans="1:13" x14ac:dyDescent="0.35">
      <c r="A33">
        <v>15</v>
      </c>
      <c r="B33">
        <v>4</v>
      </c>
      <c r="C33" t="e">
        <f t="shared" ca="1" si="0"/>
        <v>#NAME?</v>
      </c>
      <c r="F33">
        <f t="shared" si="1"/>
        <v>0</v>
      </c>
      <c r="G33" t="e">
        <f t="shared" ca="1" si="2"/>
        <v>#NAME?</v>
      </c>
      <c r="H33" t="str">
        <f t="shared" si="3"/>
        <v/>
      </c>
      <c r="I33" t="str">
        <f t="shared" si="4"/>
        <v/>
      </c>
      <c r="J33">
        <f t="shared" si="5"/>
        <v>4</v>
      </c>
      <c r="K33" t="e">
        <f t="shared" ca="1" si="6"/>
        <v>#NAME?</v>
      </c>
      <c r="L33" t="str">
        <f t="shared" si="7"/>
        <v/>
      </c>
      <c r="M33" t="str">
        <f t="shared" si="8"/>
        <v/>
      </c>
    </row>
    <row r="34" spans="1:13" x14ac:dyDescent="0.35">
      <c r="A34">
        <v>16</v>
      </c>
      <c r="B34">
        <v>4</v>
      </c>
      <c r="C34" t="e">
        <f t="shared" ca="1" si="0"/>
        <v>#NAME?</v>
      </c>
      <c r="F34">
        <f t="shared" si="1"/>
        <v>0</v>
      </c>
      <c r="G34" t="e">
        <f t="shared" ca="1" si="2"/>
        <v>#NAME?</v>
      </c>
      <c r="H34" t="str">
        <f t="shared" si="3"/>
        <v/>
      </c>
      <c r="I34" t="str">
        <f t="shared" si="4"/>
        <v/>
      </c>
      <c r="J34">
        <f t="shared" si="5"/>
        <v>4</v>
      </c>
      <c r="K34" t="e">
        <f t="shared" ca="1" si="6"/>
        <v>#NAME?</v>
      </c>
      <c r="L34" t="str">
        <f t="shared" si="7"/>
        <v/>
      </c>
      <c r="M34" t="str">
        <f t="shared" si="8"/>
        <v/>
      </c>
    </row>
    <row r="35" spans="1:13" x14ac:dyDescent="0.35">
      <c r="A35">
        <v>17</v>
      </c>
      <c r="B35">
        <v>4</v>
      </c>
      <c r="C35" t="e">
        <f t="shared" ca="1" si="0"/>
        <v>#NAME?</v>
      </c>
      <c r="F35">
        <f t="shared" si="1"/>
        <v>0</v>
      </c>
      <c r="G35" t="e">
        <f t="shared" ca="1" si="2"/>
        <v>#NAME?</v>
      </c>
      <c r="H35" t="str">
        <f t="shared" si="3"/>
        <v/>
      </c>
      <c r="I35" t="str">
        <f t="shared" si="4"/>
        <v/>
      </c>
      <c r="J35">
        <f t="shared" si="5"/>
        <v>4</v>
      </c>
      <c r="K35" t="e">
        <f t="shared" ca="1" si="6"/>
        <v>#NAME?</v>
      </c>
      <c r="L35" t="str">
        <f t="shared" si="7"/>
        <v/>
      </c>
      <c r="M35" t="str">
        <f t="shared" si="8"/>
        <v/>
      </c>
    </row>
    <row r="36" spans="1:13" x14ac:dyDescent="0.35">
      <c r="A36">
        <v>18</v>
      </c>
      <c r="B36">
        <v>4</v>
      </c>
      <c r="C36" t="e">
        <f t="shared" ca="1" si="0"/>
        <v>#NAME?</v>
      </c>
      <c r="F36">
        <f t="shared" si="1"/>
        <v>0</v>
      </c>
      <c r="G36" t="e">
        <f t="shared" ca="1" si="2"/>
        <v>#NAME?</v>
      </c>
      <c r="H36" t="str">
        <f t="shared" si="3"/>
        <v/>
      </c>
      <c r="I36" t="str">
        <f t="shared" si="4"/>
        <v/>
      </c>
      <c r="J36">
        <f t="shared" si="5"/>
        <v>4</v>
      </c>
      <c r="K36" t="e">
        <f t="shared" ca="1" si="6"/>
        <v>#NAME?</v>
      </c>
      <c r="L36" t="str">
        <f t="shared" si="7"/>
        <v/>
      </c>
      <c r="M36" t="str">
        <f t="shared" si="8"/>
        <v/>
      </c>
    </row>
  </sheetData>
  <dataValidations count="1">
    <dataValidation type="list" sqref="B4" xr:uid="{00000000-0002-0000-0000-000000000000}">
      <formula1>$M$4:$M$9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Match 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Alcarese</cp:lastModifiedBy>
  <dcterms:created xsi:type="dcterms:W3CDTF">2026-01-01T01:09:26Z</dcterms:created>
  <dcterms:modified xsi:type="dcterms:W3CDTF">2026-01-01T01:11:52Z</dcterms:modified>
</cp:coreProperties>
</file>